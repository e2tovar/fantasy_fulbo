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30720" windowHeight="12875" activeTab="1"/>
  </bookViews>
  <sheets>
    <sheet name="Registro" sheetId="1" r:id="rId1"/>
    <sheet name="Partido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<sst xmlns="http://schemas.openxmlformats.org/spreadsheetml/2006/main" count="162" uniqueCount="50">
  <si>
    <t>Orden</t>
  </si>
  <si>
    <t>Jugador</t>
  </si>
  <si>
    <t>Equipo</t>
  </si>
  <si>
    <t>Eddy</t>
  </si>
  <si>
    <t>Azul</t>
  </si>
  <si>
    <t>De Tovar</t>
  </si>
  <si>
    <t>Emanuel</t>
  </si>
  <si>
    <t>Chino</t>
  </si>
  <si>
    <t>Fran</t>
  </si>
  <si>
    <t>Christian</t>
  </si>
  <si>
    <t>Carlos</t>
  </si>
  <si>
    <t>Joao</t>
  </si>
  <si>
    <t>Amarillo</t>
  </si>
  <si>
    <t>Samuel Rojas</t>
  </si>
  <si>
    <t>Jhon</t>
  </si>
  <si>
    <t>Ricardo</t>
  </si>
  <si>
    <t>Luis Gocho</t>
  </si>
  <si>
    <t>Vicente</t>
  </si>
  <si>
    <t>Joel</t>
  </si>
  <si>
    <t>Diego</t>
  </si>
  <si>
    <t>Rojo</t>
  </si>
  <si>
    <t>Andres Diaz</t>
  </si>
  <si>
    <t>Abu</t>
  </si>
  <si>
    <t>Imanol</t>
  </si>
  <si>
    <t>Andres Ruiz</t>
  </si>
  <si>
    <t>Bosch</t>
  </si>
  <si>
    <t>Pedro</t>
  </si>
  <si>
    <t>Autogol Rojo</t>
  </si>
  <si>
    <t>Autogol Azul</t>
  </si>
  <si>
    <t>Autogol Amarillo</t>
  </si>
  <si>
    <t>Colores</t>
  </si>
  <si>
    <t>Goles</t>
  </si>
  <si>
    <t>Goles y Asistencias</t>
  </si>
  <si>
    <t>Liga</t>
  </si>
  <si>
    <t>Resultado</t>
  </si>
  <si>
    <t>Nombre</t>
  </si>
  <si>
    <t xml:space="preserve">Goles </t>
  </si>
  <si>
    <t>Asistencias</t>
  </si>
  <si>
    <t>vs</t>
  </si>
  <si>
    <t>-</t>
  </si>
  <si>
    <t>Notas:</t>
  </si>
  <si>
    <t>Autogol Pedro</t>
  </si>
  <si>
    <t>A favor</t>
  </si>
  <si>
    <t>En contra</t>
  </si>
  <si>
    <t>Diferencia</t>
  </si>
  <si>
    <t>Puntos</t>
  </si>
  <si>
    <t>Validación</t>
  </si>
  <si>
    <t>Equipos</t>
  </si>
  <si>
    <t>Goles Juego</t>
  </si>
  <si>
    <t>Goles Jugador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</si>
</sst>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-* #,##0_-;\-* #,##0_-;_-* &quot;-&quot;_-;_-@_-"/>
    <numFmt numFmtId="43" formatCode="_-* #,##0.00_-;\-* #,##0.00_-;_-* &quot;-&quot;??_-;_-@_-"/>
    <numFmt numFmtId="176" formatCode="_-* #,##0.00\ &quot;€&quot;_-;\-* #,##0.00\ &quot;€&quot;_-;_-* \-??\ &quot;€&quot;_-;_-@_-"/>
    <numFmt numFmtId="177" formatCode="_-* #,##0\ &quot;€&quot;_-;\-* #,##0\ &quot;€&quot;_-;_-* &quot;-&quot;\ &quot;€&quot;_-;_-@_-"/>
  </numFmts>
  <fonts count="24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</font>
    <font>
      <sz val="11"/>
      <name val="Calibri"/>
      <charset val="134"/>
      <scheme val="minor"/>
    </font>
    <font>
      <sz val="11"/>
      <color theme="1"/>
      <name val="Calibri"/>
      <charset val="134"/>
    </font>
    <font>
      <sz val="8"/>
      <color theme="1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2" borderId="16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7" applyNumberFormat="0" applyFill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2" fillId="0" borderId="18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19" applyNumberFormat="0" applyAlignment="0" applyProtection="0">
      <alignment vertical="center"/>
    </xf>
    <xf numFmtId="0" fontId="14" fillId="4" borderId="20" applyNumberFormat="0" applyAlignment="0" applyProtection="0">
      <alignment vertical="center"/>
    </xf>
    <xf numFmtId="0" fontId="15" fillId="4" borderId="19" applyNumberFormat="0" applyAlignment="0" applyProtection="0">
      <alignment vertical="center"/>
    </xf>
    <xf numFmtId="0" fontId="16" fillId="5" borderId="21" applyNumberFormat="0" applyAlignment="0" applyProtection="0">
      <alignment vertical="center"/>
    </xf>
    <xf numFmtId="0" fontId="17" fillId="0" borderId="22" applyNumberFormat="0" applyFill="0" applyAlignment="0" applyProtection="0">
      <alignment vertical="center"/>
    </xf>
    <xf numFmtId="0" fontId="18" fillId="0" borderId="23" applyNumberFormat="0" applyFill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</cellStyleXfs>
  <cellXfs count="38">
    <xf numFmtId="0" fontId="0" fillId="0" borderId="0" xfId="0" applyFont="1" applyAlignment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3" fillId="0" borderId="0" xfId="0" applyFont="1"/>
    <xf numFmtId="0" fontId="3" fillId="0" borderId="4" xfId="0" applyFont="1" applyBorder="1" applyAlignment="1">
      <alignment horizontal="center"/>
    </xf>
    <xf numFmtId="0" fontId="3" fillId="0" borderId="5" xfId="0" applyFont="1" applyBorder="1"/>
    <xf numFmtId="0" fontId="3" fillId="0" borderId="6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4" fillId="0" borderId="0" xfId="0" applyFont="1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/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2" fillId="0" borderId="8" xfId="0" applyFont="1" applyBorder="1"/>
    <xf numFmtId="0" fontId="2" fillId="0" borderId="6" xfId="0" applyFont="1" applyBorder="1"/>
    <xf numFmtId="0" fontId="2" fillId="0" borderId="10" xfId="0" applyFont="1" applyBorder="1"/>
    <xf numFmtId="0" fontId="2" fillId="0" borderId="11" xfId="0" applyFont="1" applyBorder="1"/>
    <xf numFmtId="0" fontId="4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3" fillId="0" borderId="13" xfId="0" applyFont="1" applyBorder="1" applyAlignment="1"/>
    <xf numFmtId="0" fontId="3" fillId="0" borderId="13" xfId="0" applyFont="1" applyBorder="1"/>
    <xf numFmtId="0" fontId="3" fillId="0" borderId="14" xfId="0" applyFont="1" applyBorder="1" applyAlignment="1"/>
    <xf numFmtId="0" fontId="3" fillId="0" borderId="14" xfId="0" applyFont="1" applyBorder="1"/>
    <xf numFmtId="0" fontId="3" fillId="0" borderId="15" xfId="0" applyFont="1" applyBorder="1"/>
    <xf numFmtId="0" fontId="3" fillId="0" borderId="0" xfId="0" applyFont="1" applyAlignment="1">
      <alignment horizontal="right"/>
    </xf>
    <xf numFmtId="0" fontId="3" fillId="0" borderId="4" xfId="0" applyFont="1" applyBorder="1" applyAlignment="1"/>
    <xf numFmtId="0" fontId="2" fillId="0" borderId="5" xfId="0" applyFont="1" applyBorder="1"/>
    <xf numFmtId="0" fontId="2" fillId="0" borderId="7" xfId="0" applyFont="1" applyBorder="1"/>
    <xf numFmtId="0" fontId="3" fillId="0" borderId="13" xfId="0" applyFont="1" applyBorder="1" applyAlignment="1">
      <alignment horizontal="center"/>
    </xf>
    <xf numFmtId="0" fontId="2" fillId="0" borderId="9" xfId="0" applyFont="1" applyBorder="1"/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0" xfId="0" applyFont="1" applyAlignment="1"/>
    <xf numFmtId="0" fontId="3" fillId="0" borderId="5" xfId="0" applyFont="1" applyBorder="1" applyAlignment="1" quotePrefix="1">
      <alignment horizontal="center"/>
    </xf>
    <xf numFmtId="0" fontId="3" fillId="0" borderId="0" xfId="0" applyFont="1" applyAlignment="1" quotePrefix="1">
      <alignment horizontal="center"/>
    </xf>
    <xf numFmtId="0" fontId="3" fillId="0" borderId="10" xfId="0" applyFont="1" applyBorder="1" applyAlignment="1" quotePrefix="1">
      <alignment horizontal="center"/>
    </xf>
  </cellXfs>
  <cellStyles count="49">
    <cellStyle name="Normal" xfId="0" builtinId="0"/>
    <cellStyle name="Coma" xfId="1" builtinId="3"/>
    <cellStyle name="Moneda" xfId="2" builtinId="4"/>
    <cellStyle name="Porcentaje" xfId="3" builtinId="5"/>
    <cellStyle name="Coma [0]" xfId="4" builtinId="6"/>
    <cellStyle name="Moneda [0]" xfId="5" builtinId="7"/>
    <cellStyle name="Hipervínculo" xfId="6" builtinId="8"/>
    <cellStyle name="Hipervínculo visitado" xfId="7" builtinId="9"/>
    <cellStyle name="Nota" xfId="8" builtinId="10"/>
    <cellStyle name="Texto de advertencia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lida" xfId="17" builtinId="21"/>
    <cellStyle name="Cálculo" xfId="18" builtinId="22"/>
    <cellStyle name="Celda de comprobación" xfId="19" builtinId="23"/>
    <cellStyle name="Celda vinculada" xfId="20" builtinId="24"/>
    <cellStyle name="Total" xfId="21" builtinId="25"/>
    <cellStyle name="Correcto" xfId="22" builtinId="26"/>
    <cellStyle name="Incorrecto" xfId="23" builtinId="27"/>
    <cellStyle name="Neutro" xfId="24" builtinId="28"/>
    <cellStyle name="Énfasis1" xfId="25" builtinId="29"/>
    <cellStyle name="20% - Énfasis1" xfId="26" builtinId="30"/>
    <cellStyle name="40% - Énfasis1" xfId="27" builtinId="31"/>
    <cellStyle name="60% - Énfasis1" xfId="28" builtinId="32"/>
    <cellStyle name="Énfasis2" xfId="29" builtinId="33"/>
    <cellStyle name="20% - Énfasis2" xfId="30" builtinId="34"/>
    <cellStyle name="40% - Énfasis2" xfId="31" builtinId="35"/>
    <cellStyle name="60% - Énfasis2" xfId="32" builtinId="36"/>
    <cellStyle name="Énfasis3" xfId="33" builtinId="37"/>
    <cellStyle name="20% - Énfasis3" xfId="34" builtinId="38"/>
    <cellStyle name="40% - Énfasis3" xfId="35" builtinId="39"/>
    <cellStyle name="60% - Énfasis3" xfId="36" builtinId="40"/>
    <cellStyle name="Énfasis4" xfId="37" builtinId="41"/>
    <cellStyle name="20% - Énfasis4" xfId="38" builtinId="42"/>
    <cellStyle name="40% - Énfasis4" xfId="39" builtinId="43"/>
    <cellStyle name="60% - Énfasis4" xfId="40" builtinId="44"/>
    <cellStyle name="Énfasis5" xfId="41" builtinId="45"/>
    <cellStyle name="20% - Énfasis5" xfId="42" builtinId="46"/>
    <cellStyle name="40% - Énfasis5" xfId="43" builtinId="47"/>
    <cellStyle name="60% - Énfasis5" xfId="44" builtinId="48"/>
    <cellStyle name="Énfasis6" xfId="45" builtinId="49"/>
    <cellStyle name="20% - Énfasis6" xfId="46" builtinId="50"/>
    <cellStyle name="40% - Énfasis6" xfId="47" builtinId="51"/>
    <cellStyle name="60% - Énfasis6" xfId="48" builtinId="52"/>
  </cellStyles>
  <dxfs count="14">
    <dxf>
      <font>
        <name val="Calibri"/>
        <scheme val="none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none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none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none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none"/>
        <charset val="134"/>
        <family val="0"/>
        <b val="0"/>
        <i val="0"/>
        <strike val="0"/>
        <u val="none"/>
        <sz val="11"/>
        <color theme="1"/>
      </font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3">
    <tableStyle name="Registro-style" pivot="0" count="3" xr9:uid="{75B05E16-A35A-4B69-9478-033F705E8828}">
      <tableStyleElement type="headerRow" dxfId="7"/>
      <tableStyleElement type="firstRowStripe" dxfId="6"/>
      <tableStyleElement type="secondRowStripe" dxfId="5"/>
    </tableStyle>
    <tableStyle name="Partido-style" pivot="0" count="3" xr9:uid="{923756F8-33F7-4511-BA5D-A695FB9A95EF}">
      <tableStyleElement type="headerRow" dxfId="10"/>
      <tableStyleElement type="firstRowStripe" dxfId="9"/>
      <tableStyleElement type="secondRowStripe" dxfId="8"/>
    </tableStyle>
    <tableStyle name="Partido-style 2" pivot="0" count="3" xr9:uid="{13F3FA58-EB0E-46DB-993B-ED471230382A}">
      <tableStyleElement type="headerRow" dxfId="13"/>
      <tableStyleElement type="firstRowStripe" dxfId="12"/>
      <tableStyleElement type="secondRowStripe" dxfId="11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Table_1" displayName="Table_1" ref="A2:C26">
  <tableColumns count="3">
    <tableColumn id="1" name="Orden" dataDxfId="0"/>
    <tableColumn id="2" name="Jugador" dataDxfId="1"/>
    <tableColumn id="3" name="Equipo" dataDxfId="2"/>
  </tableColumns>
  <tableStyleInfo name="Registro-style" showFirstColumn="1" showLastColumn="1" showRowStripes="1" showColumnStripes="0"/>
</table>
</file>

<file path=xl/tables/table2.xml><?xml version="1.0" encoding="utf-8"?>
<table xmlns="http://schemas.openxmlformats.org/spreadsheetml/2006/main" id="2" name="Table_2" displayName="Table_2" ref="AB2:AB5">
  <tableColumns count="1">
    <tableColumn id="1" name="Colores" dataDxfId="3"/>
  </tableColumns>
  <tableStyleInfo name="Partido-style" showFirstColumn="1" showLastColumn="1" showRowStripes="1" showColumnStripes="0"/>
</table>
</file>

<file path=xl/tables/table3.xml><?xml version="1.0" encoding="utf-8"?>
<table xmlns="http://schemas.openxmlformats.org/spreadsheetml/2006/main" id="3" name="Table_3" displayName="Table_3" ref="AD2:AD12">
  <tableColumns count="1">
    <tableColumn id="1" name="Goles" dataDxfId="4"/>
  </tableColumns>
  <tableStyleInfo name="Partido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1000"/>
  <sheetViews>
    <sheetView showGridLines="0" workbookViewId="0">
      <selection activeCell="A1" sqref="A1"/>
    </sheetView>
  </sheetViews>
  <sheetFormatPr defaultColWidth="14.4259259259259" defaultRowHeight="15" customHeight="1" outlineLevelCol="2"/>
  <cols>
    <col min="1" max="1" width="10.287037037037" customWidth="1"/>
    <col min="2" max="2" width="11.5740740740741" customWidth="1"/>
    <col min="3" max="3" width="11.712962962963" customWidth="1"/>
    <col min="4" max="4" width="8.71296296296296" customWidth="1"/>
    <col min="5" max="26" width="8.71296296296296" hidden="1" customWidth="1"/>
  </cols>
  <sheetData>
    <row r="1" ht="14.25" customHeight="1"/>
    <row r="2" ht="14.25" customHeight="1" spans="1:3">
      <c r="A2" s="12" t="s">
        <v>0</v>
      </c>
      <c r="B2" s="12" t="s">
        <v>1</v>
      </c>
      <c r="C2" s="12" t="s">
        <v>2</v>
      </c>
    </row>
    <row r="3" ht="14.25" customHeight="1" spans="1:3">
      <c r="A3" s="12">
        <v>1</v>
      </c>
      <c r="B3" s="37" t="s">
        <v>3</v>
      </c>
      <c r="C3" s="4" t="s">
        <v>4</v>
      </c>
    </row>
    <row r="4" ht="14.25" customHeight="1" spans="1:3">
      <c r="A4" s="12">
        <v>2</v>
      </c>
      <c r="B4" s="37" t="s">
        <v>5</v>
      </c>
      <c r="C4" s="4" t="s">
        <v>4</v>
      </c>
    </row>
    <row r="5" ht="14.25" customHeight="1" spans="1:3">
      <c r="A5" s="12">
        <v>3</v>
      </c>
      <c r="B5" s="37" t="s">
        <v>6</v>
      </c>
      <c r="C5" s="4" t="s">
        <v>4</v>
      </c>
    </row>
    <row r="6" ht="14.25" customHeight="1" spans="1:3">
      <c r="A6" s="12">
        <v>4</v>
      </c>
      <c r="B6" s="37" t="s">
        <v>7</v>
      </c>
      <c r="C6" s="4" t="s">
        <v>4</v>
      </c>
    </row>
    <row r="7" ht="14.25" customHeight="1" spans="1:3">
      <c r="A7" s="12">
        <v>5</v>
      </c>
      <c r="B7" s="37" t="s">
        <v>8</v>
      </c>
      <c r="C7" s="4" t="s">
        <v>4</v>
      </c>
    </row>
    <row r="8" ht="14.25" customHeight="1" spans="1:3">
      <c r="A8" s="12">
        <v>6</v>
      </c>
      <c r="B8" s="37" t="s">
        <v>9</v>
      </c>
      <c r="C8" s="4" t="s">
        <v>4</v>
      </c>
    </row>
    <row r="9" ht="14.25" customHeight="1" spans="1:3">
      <c r="A9" s="12">
        <v>7</v>
      </c>
      <c r="B9" s="37" t="s">
        <v>10</v>
      </c>
      <c r="C9" s="4" t="s">
        <v>4</v>
      </c>
    </row>
    <row r="10" ht="14.25" customHeight="1" spans="1:3">
      <c r="A10" s="12">
        <v>8</v>
      </c>
      <c r="B10" s="37" t="s">
        <v>11</v>
      </c>
      <c r="C10" s="4" t="s">
        <v>12</v>
      </c>
    </row>
    <row r="11" ht="14.25" customHeight="1" spans="1:3">
      <c r="A11" s="12">
        <v>9</v>
      </c>
      <c r="B11" s="37" t="s">
        <v>13</v>
      </c>
      <c r="C11" s="4" t="s">
        <v>12</v>
      </c>
    </row>
    <row r="12" ht="14.25" customHeight="1" spans="1:3">
      <c r="A12" s="12">
        <v>10</v>
      </c>
      <c r="B12" s="37" t="s">
        <v>14</v>
      </c>
      <c r="C12" s="4" t="s">
        <v>12</v>
      </c>
    </row>
    <row r="13" ht="14.25" customHeight="1" spans="1:3">
      <c r="A13" s="12">
        <v>11</v>
      </c>
      <c r="B13" s="37" t="s">
        <v>15</v>
      </c>
      <c r="C13" s="4" t="s">
        <v>12</v>
      </c>
    </row>
    <row r="14" ht="14.25" customHeight="1" spans="1:3">
      <c r="A14" s="12">
        <v>12</v>
      </c>
      <c r="B14" s="37" t="s">
        <v>16</v>
      </c>
      <c r="C14" s="4" t="s">
        <v>12</v>
      </c>
    </row>
    <row r="15" ht="14.25" customHeight="1" spans="1:3">
      <c r="A15" s="12">
        <v>13</v>
      </c>
      <c r="B15" s="37" t="s">
        <v>17</v>
      </c>
      <c r="C15" s="4" t="s">
        <v>12</v>
      </c>
    </row>
    <row r="16" ht="14.25" customHeight="1" spans="1:3">
      <c r="A16" s="12">
        <v>14</v>
      </c>
      <c r="B16" s="37" t="s">
        <v>18</v>
      </c>
      <c r="C16" s="4" t="s">
        <v>12</v>
      </c>
    </row>
    <row r="17" ht="14.25" customHeight="1" spans="1:3">
      <c r="A17" s="12">
        <v>15</v>
      </c>
      <c r="B17" s="37" t="s">
        <v>19</v>
      </c>
      <c r="C17" s="4" t="s">
        <v>20</v>
      </c>
    </row>
    <row r="18" ht="14.25" customHeight="1" spans="1:3">
      <c r="A18" s="12">
        <v>16</v>
      </c>
      <c r="B18" s="37" t="s">
        <v>21</v>
      </c>
      <c r="C18" s="4" t="s">
        <v>20</v>
      </c>
    </row>
    <row r="19" ht="14.25" customHeight="1" spans="1:3">
      <c r="A19" s="12">
        <v>17</v>
      </c>
      <c r="B19" s="37" t="s">
        <v>22</v>
      </c>
      <c r="C19" s="4" t="s">
        <v>20</v>
      </c>
    </row>
    <row r="20" ht="14.25" customHeight="1" spans="1:3">
      <c r="A20" s="12">
        <v>18</v>
      </c>
      <c r="B20" s="37" t="s">
        <v>23</v>
      </c>
      <c r="C20" s="4" t="s">
        <v>20</v>
      </c>
    </row>
    <row r="21" ht="14.25" customHeight="1" spans="1:3">
      <c r="A21" s="12">
        <v>19</v>
      </c>
      <c r="B21" s="37" t="s">
        <v>24</v>
      </c>
      <c r="C21" s="4" t="s">
        <v>20</v>
      </c>
    </row>
    <row r="22" ht="14.25" customHeight="1" spans="1:3">
      <c r="A22" s="12">
        <v>20</v>
      </c>
      <c r="B22" s="37" t="s">
        <v>25</v>
      </c>
      <c r="C22" s="4" t="s">
        <v>20</v>
      </c>
    </row>
    <row r="23" ht="14.25" customHeight="1" spans="1:3">
      <c r="A23" s="12">
        <v>21</v>
      </c>
      <c r="B23" s="37" t="s">
        <v>26</v>
      </c>
      <c r="C23" s="4" t="s">
        <v>20</v>
      </c>
    </row>
    <row r="24" ht="14.25" customHeight="1" spans="1:3">
      <c r="A24" s="12">
        <v>22</v>
      </c>
      <c r="B24" s="4" t="s">
        <v>27</v>
      </c>
      <c r="C24" s="4" t="s">
        <v>20</v>
      </c>
    </row>
    <row r="25" ht="14.25" customHeight="1" spans="1:3">
      <c r="A25" s="12">
        <v>23</v>
      </c>
      <c r="B25" s="4" t="s">
        <v>28</v>
      </c>
      <c r="C25" s="4" t="s">
        <v>4</v>
      </c>
    </row>
    <row r="26" ht="14.25" customHeight="1" spans="1:3">
      <c r="A26" s="12">
        <v>24</v>
      </c>
      <c r="B26" s="4" t="s">
        <v>29</v>
      </c>
      <c r="C26" s="4" t="s">
        <v>12</v>
      </c>
    </row>
    <row r="27" ht="14.25" customHeight="1"/>
    <row r="28" ht="14.25" hidden="1" customHeight="1"/>
    <row r="29" ht="14.25" hidden="1" customHeight="1"/>
    <row r="30" ht="14.25" hidden="1" customHeight="1"/>
    <row r="31" ht="14.25" hidden="1" customHeight="1"/>
    <row r="32" ht="14.25" hidden="1" customHeight="1"/>
    <row r="33" ht="14.25" hidden="1" customHeight="1"/>
    <row r="34" ht="14.25" hidden="1" customHeight="1"/>
    <row r="35" ht="14.25" hidden="1" customHeight="1"/>
    <row r="36" ht="14.25" hidden="1" customHeight="1"/>
    <row r="37" ht="14.25" hidden="1" customHeight="1"/>
    <row r="38" ht="14.25" hidden="1" customHeight="1"/>
    <row r="39" ht="14.25" hidden="1" customHeight="1"/>
    <row r="40" ht="14.25" hidden="1" customHeight="1"/>
    <row r="41" ht="14.25" hidden="1" customHeight="1"/>
    <row r="42" ht="14.25" hidden="1" customHeight="1"/>
    <row r="43" ht="14.25" hidden="1" customHeight="1"/>
    <row r="44" ht="14.25" hidden="1" customHeight="1"/>
    <row r="45" ht="14.25" hidden="1" customHeight="1"/>
    <row r="46" ht="14.25" hidden="1" customHeight="1"/>
    <row r="47" ht="14.25" hidden="1" customHeight="1"/>
    <row r="48" ht="14.25" hidden="1" customHeight="1"/>
    <row r="49" ht="14.25" hidden="1" customHeight="1"/>
    <row r="50" ht="14.25" hidden="1" customHeight="1"/>
    <row r="51" ht="14.25" hidden="1" customHeight="1"/>
    <row r="52" ht="14.25" hidden="1" customHeight="1"/>
    <row r="53" ht="14.25" hidden="1" customHeight="1"/>
    <row r="54" ht="14.25" hidden="1" customHeight="1"/>
    <row r="55" ht="14.25" hidden="1" customHeight="1"/>
    <row r="56" ht="14.25" hidden="1" customHeight="1"/>
    <row r="57" ht="14.25" hidden="1" customHeight="1"/>
    <row r="58" ht="14.25" hidden="1" customHeight="1"/>
    <row r="59" ht="14.25" hidden="1" customHeight="1"/>
    <row r="60" ht="14.25" hidden="1" customHeight="1"/>
    <row r="61" ht="14.25" hidden="1" customHeight="1"/>
    <row r="62" ht="14.25" hidden="1" customHeight="1"/>
    <row r="63" ht="14.25" hidden="1" customHeight="1"/>
    <row r="64" ht="14.25" hidden="1" customHeight="1"/>
    <row r="65" ht="14.25" hidden="1" customHeight="1"/>
    <row r="66" ht="14.25" hidden="1" customHeight="1"/>
    <row r="67" ht="14.25" hidden="1" customHeight="1"/>
    <row r="68" ht="14.25" hidden="1" customHeight="1"/>
    <row r="69" ht="14.25" hidden="1" customHeight="1"/>
    <row r="70" ht="14.25" hidden="1" customHeight="1"/>
    <row r="71" ht="14.25" hidden="1" customHeight="1"/>
    <row r="72" ht="14.25" hidden="1" customHeight="1"/>
    <row r="73" ht="14.25" hidden="1" customHeight="1"/>
    <row r="74" ht="14.25" hidden="1" customHeight="1"/>
    <row r="75" ht="14.25" hidden="1" customHeight="1"/>
    <row r="76" ht="14.25" hidden="1" customHeight="1"/>
    <row r="77" ht="14.25" hidden="1" customHeight="1"/>
    <row r="78" ht="14.25" hidden="1" customHeight="1"/>
    <row r="79" ht="14.25" hidden="1" customHeight="1"/>
    <row r="80" ht="14.25" hidden="1" customHeight="1"/>
    <row r="81" ht="14.25" hidden="1" customHeight="1"/>
    <row r="82" ht="14.25" hidden="1" customHeight="1"/>
    <row r="83" ht="14.25" hidden="1" customHeight="1"/>
    <row r="84" ht="14.25" hidden="1" customHeight="1"/>
    <row r="85" ht="14.25" hidden="1" customHeight="1"/>
    <row r="86" ht="14.25" hidden="1" customHeight="1"/>
    <row r="87" ht="14.25" hidden="1" customHeight="1"/>
    <row r="88" ht="14.25" hidden="1" customHeight="1"/>
    <row r="89" ht="14.25" hidden="1" customHeight="1"/>
    <row r="90" ht="14.25" hidden="1" customHeight="1"/>
    <row r="91" ht="14.25" hidden="1" customHeight="1"/>
    <row r="92" ht="14.25" hidden="1" customHeight="1"/>
    <row r="93" ht="14.25" hidden="1" customHeight="1"/>
    <row r="94" ht="14.25" hidden="1" customHeight="1"/>
    <row r="95" ht="14.25" hidden="1" customHeight="1"/>
    <row r="96" ht="14.25" hidden="1" customHeight="1"/>
    <row r="97" ht="14.25" hidden="1" customHeight="1"/>
    <row r="98" ht="14.25" hidden="1" customHeight="1"/>
    <row r="99" ht="14.25" hidden="1" customHeight="1"/>
    <row r="100" ht="14.25" hidden="1" customHeight="1"/>
    <row r="101" ht="14.25" hidden="1" customHeight="1"/>
    <row r="102" ht="14.25" hidden="1" customHeight="1"/>
    <row r="103" ht="14.25" hidden="1" customHeight="1"/>
    <row r="104" ht="14.25" hidden="1" customHeight="1"/>
    <row r="105" ht="14.25" hidden="1" customHeight="1"/>
    <row r="106" ht="14.25" hidden="1" customHeight="1"/>
    <row r="107" ht="14.25" hidden="1" customHeight="1"/>
    <row r="108" ht="14.25" hidden="1" customHeight="1"/>
    <row r="109" ht="14.25" hidden="1" customHeight="1"/>
    <row r="110" ht="14.25" hidden="1" customHeight="1"/>
    <row r="111" ht="14.25" hidden="1" customHeight="1"/>
    <row r="112" ht="14.25" hidden="1" customHeight="1"/>
    <row r="113" ht="14.25" hidden="1" customHeight="1"/>
    <row r="114" ht="14.25" hidden="1" customHeight="1"/>
    <row r="115" ht="14.25" hidden="1" customHeight="1"/>
    <row r="116" ht="14.25" hidden="1" customHeight="1"/>
    <row r="117" ht="14.25" hidden="1" customHeight="1"/>
    <row r="118" ht="14.25" hidden="1" customHeight="1"/>
    <row r="119" ht="14.25" hidden="1" customHeight="1"/>
    <row r="120" ht="14.25" hidden="1" customHeight="1"/>
    <row r="121" ht="14.25" hidden="1" customHeight="1"/>
    <row r="122" ht="14.25" hidden="1" customHeight="1"/>
    <row r="123" ht="14.25" hidden="1" customHeight="1"/>
    <row r="124" ht="14.25" hidden="1" customHeight="1"/>
    <row r="125" ht="14.25" hidden="1" customHeight="1"/>
    <row r="126" ht="14.25" hidden="1" customHeight="1"/>
    <row r="127" ht="14.25" hidden="1" customHeight="1"/>
    <row r="128" ht="14.25" hidden="1" customHeight="1"/>
    <row r="129" ht="14.25" hidden="1" customHeight="1"/>
    <row r="130" ht="14.25" hidden="1" customHeight="1"/>
    <row r="131" ht="14.25" hidden="1" customHeight="1"/>
    <row r="132" ht="14.25" hidden="1" customHeight="1"/>
    <row r="133" ht="14.25" hidden="1" customHeight="1"/>
    <row r="134" ht="14.25" hidden="1" customHeight="1"/>
    <row r="135" ht="14.25" hidden="1" customHeight="1"/>
    <row r="136" ht="14.25" hidden="1" customHeight="1"/>
    <row r="137" ht="14.25" hidden="1" customHeight="1"/>
    <row r="138" ht="14.25" hidden="1" customHeight="1"/>
    <row r="139" ht="14.25" hidden="1" customHeight="1"/>
    <row r="140" ht="14.25" hidden="1" customHeight="1"/>
    <row r="141" ht="14.25" hidden="1" customHeight="1"/>
    <row r="142" ht="14.25" hidden="1" customHeight="1"/>
    <row r="143" ht="14.25" hidden="1" customHeight="1"/>
    <row r="144" ht="14.25" hidden="1" customHeight="1"/>
    <row r="145" ht="14.25" hidden="1" customHeight="1"/>
    <row r="146" ht="14.25" hidden="1" customHeight="1"/>
    <row r="147" ht="14.25" hidden="1" customHeight="1"/>
    <row r="148" ht="14.25" hidden="1" customHeight="1"/>
    <row r="149" ht="14.25" hidden="1" customHeight="1"/>
    <row r="150" ht="14.25" hidden="1" customHeight="1"/>
    <row r="151" ht="14.25" hidden="1" customHeight="1"/>
    <row r="152" ht="14.25" hidden="1" customHeight="1"/>
    <row r="153" ht="14.25" hidden="1" customHeight="1"/>
    <row r="154" ht="14.25" hidden="1" customHeight="1"/>
    <row r="155" ht="14.25" hidden="1" customHeight="1"/>
    <row r="156" ht="14.25" hidden="1" customHeight="1"/>
    <row r="157" ht="14.25" hidden="1" customHeight="1"/>
    <row r="158" ht="14.25" hidden="1" customHeight="1"/>
    <row r="159" ht="14.25" hidden="1" customHeight="1"/>
    <row r="160" ht="14.25" hidden="1" customHeight="1"/>
    <row r="161" ht="14.25" hidden="1" customHeight="1"/>
    <row r="162" ht="14.25" hidden="1" customHeight="1"/>
    <row r="163" ht="14.25" hidden="1" customHeight="1"/>
    <row r="164" ht="14.25" hidden="1" customHeight="1"/>
    <row r="165" ht="14.25" hidden="1" customHeight="1"/>
    <row r="166" ht="14.25" hidden="1" customHeight="1"/>
    <row r="167" ht="14.25" hidden="1" customHeight="1"/>
    <row r="168" ht="14.25" hidden="1" customHeight="1"/>
    <row r="169" ht="14.25" hidden="1" customHeight="1"/>
    <row r="170" ht="14.25" hidden="1" customHeight="1"/>
    <row r="171" ht="14.25" hidden="1" customHeight="1"/>
    <row r="172" ht="14.25" hidden="1" customHeight="1"/>
    <row r="173" ht="14.25" hidden="1" customHeight="1"/>
    <row r="174" ht="14.25" hidden="1" customHeight="1"/>
    <row r="175" ht="14.25" hidden="1" customHeight="1"/>
    <row r="176" ht="14.25" hidden="1" customHeight="1"/>
    <row r="177" ht="14.25" hidden="1" customHeight="1"/>
    <row r="178" ht="14.25" hidden="1" customHeight="1"/>
    <row r="179" ht="14.25" hidden="1" customHeight="1"/>
    <row r="180" ht="14.25" hidden="1" customHeight="1"/>
    <row r="181" ht="14.25" hidden="1" customHeight="1"/>
    <row r="182" ht="14.25" hidden="1" customHeight="1"/>
    <row r="183" ht="14.25" hidden="1" customHeight="1"/>
    <row r="184" ht="14.25" hidden="1" customHeight="1"/>
    <row r="185" ht="14.25" hidden="1" customHeight="1"/>
    <row r="186" ht="14.25" hidden="1" customHeight="1"/>
    <row r="187" ht="14.25" hidden="1" customHeight="1"/>
    <row r="188" ht="14.25" hidden="1" customHeight="1"/>
    <row r="189" ht="14.25" hidden="1" customHeight="1"/>
    <row r="190" ht="14.25" hidden="1" customHeight="1"/>
    <row r="191" ht="14.25" hidden="1" customHeight="1"/>
    <row r="192" ht="14.25" hidden="1" customHeight="1"/>
    <row r="193" ht="14.25" hidden="1" customHeight="1"/>
    <row r="194" ht="14.25" hidden="1" customHeight="1"/>
    <row r="195" ht="14.25" hidden="1" customHeight="1"/>
    <row r="196" ht="14.25" hidden="1" customHeight="1"/>
    <row r="197" ht="14.25" hidden="1" customHeight="1"/>
    <row r="198" ht="14.25" hidden="1" customHeight="1"/>
    <row r="199" ht="14.25" hidden="1" customHeight="1"/>
    <row r="200" ht="14.25" hidden="1" customHeight="1"/>
    <row r="201" ht="14.25" hidden="1" customHeight="1"/>
    <row r="202" ht="14.25" hidden="1" customHeight="1"/>
    <row r="203" ht="14.25" hidden="1" customHeight="1"/>
    <row r="204" ht="14.25" hidden="1" customHeight="1"/>
    <row r="205" ht="14.25" hidden="1" customHeight="1"/>
    <row r="206" ht="14.25" hidden="1" customHeight="1"/>
    <row r="207" ht="14.25" hidden="1" customHeight="1"/>
    <row r="208" ht="14.25" hidden="1" customHeight="1"/>
    <row r="209" ht="14.25" hidden="1" customHeight="1"/>
    <row r="210" ht="14.25" hidden="1" customHeight="1"/>
    <row r="211" ht="14.25" hidden="1" customHeight="1"/>
    <row r="212" ht="14.25" hidden="1" customHeight="1"/>
    <row r="213" ht="14.25" hidden="1" customHeight="1"/>
    <row r="214" ht="14.25" hidden="1" customHeight="1"/>
    <row r="215" ht="14.25" hidden="1" customHeight="1"/>
    <row r="216" ht="14.25" hidden="1" customHeight="1"/>
    <row r="217" ht="14.25" hidden="1" customHeight="1"/>
    <row r="218" ht="14.25" hidden="1" customHeight="1"/>
    <row r="219" ht="14.25" hidden="1" customHeight="1"/>
    <row r="220" ht="14.25" hidden="1" customHeight="1"/>
    <row r="221" ht="14.25" hidden="1" customHeight="1"/>
    <row r="222" ht="14.25" hidden="1" customHeight="1"/>
    <row r="223" ht="14.25" hidden="1" customHeight="1"/>
    <row r="224" ht="14.25" hidden="1" customHeight="1"/>
    <row r="225" ht="14.25" hidden="1" customHeight="1"/>
    <row r="226" ht="14.25" hidden="1" customHeight="1"/>
    <row r="227" ht="14.25" hidden="1" customHeight="1"/>
    <row r="228" ht="14.25" hidden="1" customHeight="1"/>
    <row r="229" ht="14.25" hidden="1" customHeight="1"/>
    <row r="230" ht="14.25" hidden="1" customHeight="1"/>
    <row r="231" ht="14.25" hidden="1" customHeight="1"/>
    <row r="232" ht="14.25" hidden="1" customHeight="1"/>
    <row r="233" ht="14.25" hidden="1" customHeight="1"/>
    <row r="234" ht="14.25" hidden="1" customHeight="1"/>
    <row r="235" ht="14.25" hidden="1" customHeight="1"/>
    <row r="236" ht="14.25" hidden="1" customHeight="1"/>
    <row r="237" ht="14.25" hidden="1" customHeight="1"/>
    <row r="238" ht="14.25" hidden="1" customHeight="1"/>
    <row r="239" ht="14.25" hidden="1" customHeight="1"/>
    <row r="240" ht="14.25" hidden="1" customHeight="1"/>
    <row r="241" ht="14.25" hidden="1" customHeight="1"/>
    <row r="242" ht="14.25" hidden="1" customHeight="1"/>
    <row r="243" ht="14.25" hidden="1" customHeight="1"/>
    <row r="244" ht="14.25" hidden="1" customHeight="1"/>
    <row r="245" ht="14.25" hidden="1" customHeight="1"/>
    <row r="246" ht="14.25" hidden="1" customHeight="1"/>
    <row r="247" ht="14.25" hidden="1" customHeight="1"/>
    <row r="248" ht="14.25" hidden="1" customHeight="1"/>
    <row r="249" ht="14.25" hidden="1" customHeight="1"/>
    <row r="250" ht="14.25" hidden="1" customHeight="1"/>
    <row r="251" ht="14.25" hidden="1" customHeight="1"/>
    <row r="252" ht="14.25" hidden="1" customHeight="1"/>
    <row r="253" ht="14.25" hidden="1" customHeight="1"/>
    <row r="254" ht="14.25" hidden="1" customHeight="1"/>
    <row r="255" ht="14.25" hidden="1" customHeight="1"/>
    <row r="256" ht="14.25" hidden="1" customHeight="1"/>
    <row r="257" ht="14.25" hidden="1" customHeight="1"/>
    <row r="258" ht="14.25" hidden="1" customHeight="1"/>
    <row r="259" ht="14.25" hidden="1" customHeight="1"/>
    <row r="260" ht="14.25" hidden="1" customHeight="1"/>
    <row r="261" ht="14.25" hidden="1" customHeight="1"/>
    <row r="262" ht="14.25" hidden="1" customHeight="1"/>
    <row r="263" ht="14.25" hidden="1" customHeight="1"/>
    <row r="264" ht="14.25" hidden="1" customHeight="1"/>
    <row r="265" ht="14.25" hidden="1" customHeight="1"/>
    <row r="266" ht="14.25" hidden="1" customHeight="1"/>
    <row r="267" ht="14.25" hidden="1" customHeight="1"/>
    <row r="268" ht="14.25" hidden="1" customHeight="1"/>
    <row r="269" ht="14.25" hidden="1" customHeight="1"/>
    <row r="270" ht="14.25" hidden="1" customHeight="1"/>
    <row r="271" ht="14.25" hidden="1" customHeight="1"/>
    <row r="272" ht="14.25" hidden="1" customHeight="1"/>
    <row r="273" ht="14.25" hidden="1" customHeight="1"/>
    <row r="274" ht="14.25" hidden="1" customHeight="1"/>
    <row r="275" ht="14.25" hidden="1" customHeight="1"/>
    <row r="276" ht="14.25" hidden="1" customHeight="1"/>
    <row r="277" ht="14.25" hidden="1" customHeight="1"/>
    <row r="278" ht="14.25" hidden="1" customHeight="1"/>
    <row r="279" ht="14.25" hidden="1" customHeight="1"/>
    <row r="280" ht="14.25" hidden="1" customHeight="1"/>
    <row r="281" ht="14.25" hidden="1" customHeight="1"/>
    <row r="282" ht="14.25" hidden="1" customHeight="1"/>
    <row r="283" ht="14.25" hidden="1" customHeight="1"/>
    <row r="284" ht="14.25" hidden="1" customHeight="1"/>
    <row r="285" ht="14.25" hidden="1" customHeight="1"/>
    <row r="286" ht="14.25" hidden="1" customHeight="1"/>
    <row r="287" ht="14.25" hidden="1" customHeight="1"/>
    <row r="288" ht="14.25" hidden="1" customHeight="1"/>
    <row r="289" ht="14.25" hidden="1" customHeight="1"/>
    <row r="290" ht="14.25" hidden="1" customHeight="1"/>
    <row r="291" ht="14.25" hidden="1" customHeight="1"/>
    <row r="292" ht="14.25" hidden="1" customHeight="1"/>
    <row r="293" ht="14.25" hidden="1" customHeight="1"/>
    <row r="294" ht="14.25" hidden="1" customHeight="1"/>
    <row r="295" ht="14.25" hidden="1" customHeight="1"/>
    <row r="296" ht="14.25" hidden="1" customHeight="1"/>
    <row r="297" ht="14.25" hidden="1" customHeight="1"/>
    <row r="298" ht="14.25" hidden="1" customHeight="1"/>
    <row r="299" ht="14.25" hidden="1" customHeight="1"/>
    <row r="300" ht="14.25" hidden="1" customHeight="1"/>
    <row r="301" ht="14.25" hidden="1" customHeight="1"/>
    <row r="302" ht="14.25" hidden="1" customHeight="1"/>
    <row r="303" ht="14.25" hidden="1" customHeight="1"/>
    <row r="304" ht="14.25" hidden="1" customHeight="1"/>
    <row r="305" ht="14.25" hidden="1" customHeight="1"/>
    <row r="306" ht="14.25" hidden="1" customHeight="1"/>
    <row r="307" ht="14.25" hidden="1" customHeight="1"/>
    <row r="308" ht="14.25" hidden="1" customHeight="1"/>
    <row r="309" ht="14.25" hidden="1" customHeight="1"/>
    <row r="310" ht="14.25" hidden="1" customHeight="1"/>
    <row r="311" ht="14.25" hidden="1" customHeight="1"/>
    <row r="312" ht="14.25" hidden="1" customHeight="1"/>
    <row r="313" ht="14.25" hidden="1" customHeight="1"/>
    <row r="314" ht="14.25" hidden="1" customHeight="1"/>
    <row r="315" ht="14.25" hidden="1" customHeight="1"/>
    <row r="316" ht="14.25" hidden="1" customHeight="1"/>
    <row r="317" ht="14.25" hidden="1" customHeight="1"/>
    <row r="318" ht="14.25" hidden="1" customHeight="1"/>
    <row r="319" ht="14.25" hidden="1" customHeight="1"/>
    <row r="320" ht="14.25" hidden="1" customHeight="1"/>
    <row r="321" ht="14.25" hidden="1" customHeight="1"/>
    <row r="322" ht="14.25" hidden="1" customHeight="1"/>
    <row r="323" ht="14.25" hidden="1" customHeight="1"/>
    <row r="324" ht="14.25" hidden="1" customHeight="1"/>
    <row r="325" ht="14.25" hidden="1" customHeight="1"/>
    <row r="326" ht="14.25" hidden="1" customHeight="1"/>
    <row r="327" ht="14.25" hidden="1" customHeight="1"/>
    <row r="328" ht="14.25" hidden="1" customHeight="1"/>
    <row r="329" ht="14.25" hidden="1" customHeight="1"/>
    <row r="330" ht="14.25" hidden="1" customHeight="1"/>
    <row r="331" ht="14.25" hidden="1" customHeight="1"/>
    <row r="332" ht="14.25" hidden="1" customHeight="1"/>
    <row r="333" ht="14.25" hidden="1" customHeight="1"/>
    <row r="334" ht="14.25" hidden="1" customHeight="1"/>
    <row r="335" ht="14.25" hidden="1" customHeight="1"/>
    <row r="336" ht="14.25" hidden="1" customHeight="1"/>
    <row r="337" ht="14.25" hidden="1" customHeight="1"/>
    <row r="338" ht="14.25" hidden="1" customHeight="1"/>
    <row r="339" ht="14.25" hidden="1" customHeight="1"/>
    <row r="340" ht="14.25" hidden="1" customHeight="1"/>
    <row r="341" ht="14.25" hidden="1" customHeight="1"/>
    <row r="342" ht="14.25" hidden="1" customHeight="1"/>
    <row r="343" ht="14.25" hidden="1" customHeight="1"/>
    <row r="344" ht="14.25" hidden="1" customHeight="1"/>
    <row r="345" ht="14.25" hidden="1" customHeight="1"/>
    <row r="346" ht="14.25" hidden="1" customHeight="1"/>
    <row r="347" ht="14.25" hidden="1" customHeight="1"/>
    <row r="348" ht="14.25" hidden="1" customHeight="1"/>
    <row r="349" ht="14.25" hidden="1" customHeight="1"/>
    <row r="350" ht="14.25" hidden="1" customHeight="1"/>
    <row r="351" ht="14.25" hidden="1" customHeight="1"/>
    <row r="352" ht="14.25" hidden="1" customHeight="1"/>
    <row r="353" ht="14.25" hidden="1" customHeight="1"/>
    <row r="354" ht="14.25" hidden="1" customHeight="1"/>
    <row r="355" ht="14.25" hidden="1" customHeight="1"/>
    <row r="356" ht="14.25" hidden="1" customHeight="1"/>
    <row r="357" ht="14.25" hidden="1" customHeight="1"/>
    <row r="358" ht="14.25" hidden="1" customHeight="1"/>
    <row r="359" ht="14.25" hidden="1" customHeight="1"/>
    <row r="360" ht="14.25" hidden="1" customHeight="1"/>
    <row r="361" ht="14.25" hidden="1" customHeight="1"/>
    <row r="362" ht="14.25" hidden="1" customHeight="1"/>
    <row r="363" ht="14.25" hidden="1" customHeight="1"/>
    <row r="364" ht="14.25" hidden="1" customHeight="1"/>
    <row r="365" ht="14.25" hidden="1" customHeight="1"/>
    <row r="366" ht="14.25" hidden="1" customHeight="1"/>
    <row r="367" ht="14.25" hidden="1" customHeight="1"/>
    <row r="368" ht="14.25" hidden="1" customHeight="1"/>
    <row r="369" ht="14.25" hidden="1" customHeight="1"/>
    <row r="370" ht="14.25" hidden="1" customHeight="1"/>
    <row r="371" ht="14.25" hidden="1" customHeight="1"/>
    <row r="372" ht="14.25" hidden="1" customHeight="1"/>
    <row r="373" ht="14.25" hidden="1" customHeight="1"/>
    <row r="374" ht="14.25" hidden="1" customHeight="1"/>
    <row r="375" ht="14.25" hidden="1" customHeight="1"/>
    <row r="376" ht="14.25" hidden="1" customHeight="1"/>
    <row r="377" ht="14.25" hidden="1" customHeight="1"/>
    <row r="378" ht="14.25" hidden="1" customHeight="1"/>
    <row r="379" ht="14.25" hidden="1" customHeight="1"/>
    <row r="380" ht="14.25" hidden="1" customHeight="1"/>
    <row r="381" ht="14.25" hidden="1" customHeight="1"/>
    <row r="382" ht="14.25" hidden="1" customHeight="1"/>
    <row r="383" ht="14.25" hidden="1" customHeight="1"/>
    <row r="384" ht="14.25" hidden="1" customHeight="1"/>
    <row r="385" ht="14.25" hidden="1" customHeight="1"/>
    <row r="386" ht="14.25" hidden="1" customHeight="1"/>
    <row r="387" ht="14.25" hidden="1" customHeight="1"/>
    <row r="388" ht="14.25" hidden="1" customHeight="1"/>
    <row r="389" ht="14.25" hidden="1" customHeight="1"/>
    <row r="390" ht="14.25" hidden="1" customHeight="1"/>
    <row r="391" ht="14.25" hidden="1" customHeight="1"/>
    <row r="392" ht="14.25" hidden="1" customHeight="1"/>
    <row r="393" ht="14.25" hidden="1" customHeight="1"/>
    <row r="394" ht="14.25" hidden="1" customHeight="1"/>
    <row r="395" ht="14.25" hidden="1" customHeight="1"/>
    <row r="396" ht="14.25" hidden="1" customHeight="1"/>
    <row r="397" ht="14.25" hidden="1" customHeight="1"/>
    <row r="398" ht="14.25" hidden="1" customHeight="1"/>
    <row r="399" ht="14.25" hidden="1" customHeight="1"/>
    <row r="400" ht="14.25" hidden="1" customHeight="1"/>
    <row r="401" ht="14.25" hidden="1" customHeight="1"/>
    <row r="402" ht="14.25" hidden="1" customHeight="1"/>
    <row r="403" ht="14.25" hidden="1" customHeight="1"/>
    <row r="404" ht="14.25" hidden="1" customHeight="1"/>
    <row r="405" ht="14.25" hidden="1" customHeight="1"/>
    <row r="406" ht="14.25" hidden="1" customHeight="1"/>
    <row r="407" ht="14.25" hidden="1" customHeight="1"/>
    <row r="408" ht="14.25" hidden="1" customHeight="1"/>
    <row r="409" ht="14.25" hidden="1" customHeight="1"/>
    <row r="410" ht="14.25" hidden="1" customHeight="1"/>
    <row r="411" ht="14.25" hidden="1" customHeight="1"/>
    <row r="412" ht="14.25" hidden="1" customHeight="1"/>
    <row r="413" ht="14.25" hidden="1" customHeight="1"/>
    <row r="414" ht="14.25" hidden="1" customHeight="1"/>
    <row r="415" ht="14.25" hidden="1" customHeight="1"/>
    <row r="416" ht="14.25" hidden="1" customHeight="1"/>
    <row r="417" ht="14.25" hidden="1" customHeight="1"/>
    <row r="418" ht="14.25" hidden="1" customHeight="1"/>
    <row r="419" ht="14.25" hidden="1" customHeight="1"/>
    <row r="420" ht="14.25" hidden="1" customHeight="1"/>
    <row r="421" ht="14.25" hidden="1" customHeight="1"/>
    <row r="422" ht="14.25" hidden="1" customHeight="1"/>
    <row r="423" ht="14.25" hidden="1" customHeight="1"/>
    <row r="424" ht="14.25" hidden="1" customHeight="1"/>
    <row r="425" ht="14.25" hidden="1" customHeight="1"/>
    <row r="426" ht="14.25" hidden="1" customHeight="1"/>
    <row r="427" ht="14.25" hidden="1" customHeight="1"/>
    <row r="428" ht="14.25" hidden="1" customHeight="1"/>
    <row r="429" ht="14.25" hidden="1" customHeight="1"/>
    <row r="430" ht="14.25" hidden="1" customHeight="1"/>
    <row r="431" ht="14.25" hidden="1" customHeight="1"/>
    <row r="432" ht="14.25" hidden="1" customHeight="1"/>
    <row r="433" ht="14.25" hidden="1" customHeight="1"/>
    <row r="434" ht="14.25" hidden="1" customHeight="1"/>
    <row r="435" ht="14.25" hidden="1" customHeight="1"/>
    <row r="436" ht="14.25" hidden="1" customHeight="1"/>
    <row r="437" ht="14.25" hidden="1" customHeight="1"/>
    <row r="438" ht="14.25" hidden="1" customHeight="1"/>
    <row r="439" ht="14.25" hidden="1" customHeight="1"/>
    <row r="440" ht="14.25" hidden="1" customHeight="1"/>
    <row r="441" ht="14.25" hidden="1" customHeight="1"/>
    <row r="442" ht="14.25" hidden="1" customHeight="1"/>
    <row r="443" ht="14.25" hidden="1" customHeight="1"/>
    <row r="444" ht="14.25" hidden="1" customHeight="1"/>
    <row r="445" ht="14.25" hidden="1" customHeight="1"/>
    <row r="446" ht="14.25" hidden="1" customHeight="1"/>
    <row r="447" ht="14.25" hidden="1" customHeight="1"/>
    <row r="448" ht="14.25" hidden="1" customHeight="1"/>
    <row r="449" ht="14.25" hidden="1" customHeight="1"/>
    <row r="450" ht="14.25" hidden="1" customHeight="1"/>
    <row r="451" ht="14.25" hidden="1" customHeight="1"/>
    <row r="452" ht="14.25" hidden="1" customHeight="1"/>
    <row r="453" ht="14.25" hidden="1" customHeight="1"/>
    <row r="454" ht="14.25" hidden="1" customHeight="1"/>
    <row r="455" ht="14.25" hidden="1" customHeight="1"/>
    <row r="456" ht="14.25" hidden="1" customHeight="1"/>
    <row r="457" ht="14.25" hidden="1" customHeight="1"/>
    <row r="458" ht="14.25" hidden="1" customHeight="1"/>
    <row r="459" ht="14.25" hidden="1" customHeight="1"/>
    <row r="460" ht="14.25" hidden="1" customHeight="1"/>
    <row r="461" ht="14.25" hidden="1" customHeight="1"/>
    <row r="462" ht="14.25" hidden="1" customHeight="1"/>
    <row r="463" ht="14.25" hidden="1" customHeight="1"/>
    <row r="464" ht="14.25" hidden="1" customHeight="1"/>
    <row r="465" ht="14.25" hidden="1" customHeight="1"/>
    <row r="466" ht="14.25" hidden="1" customHeight="1"/>
    <row r="467" ht="14.25" hidden="1" customHeight="1"/>
    <row r="468" ht="14.25" hidden="1" customHeight="1"/>
    <row r="469" ht="14.25" hidden="1" customHeight="1"/>
    <row r="470" ht="14.25" hidden="1" customHeight="1"/>
    <row r="471" ht="14.25" hidden="1" customHeight="1"/>
    <row r="472" ht="14.25" hidden="1" customHeight="1"/>
    <row r="473" ht="14.25" hidden="1" customHeight="1"/>
    <row r="474" ht="14.25" hidden="1" customHeight="1"/>
    <row r="475" ht="14.25" hidden="1" customHeight="1"/>
    <row r="476" ht="14.25" hidden="1" customHeight="1"/>
    <row r="477" ht="14.25" hidden="1" customHeight="1"/>
    <row r="478" ht="14.25" hidden="1" customHeight="1"/>
    <row r="479" ht="14.25" hidden="1" customHeight="1"/>
    <row r="480" ht="14.25" hidden="1" customHeight="1"/>
    <row r="481" ht="14.25" hidden="1" customHeight="1"/>
    <row r="482" ht="14.25" hidden="1" customHeight="1"/>
    <row r="483" ht="14.25" hidden="1" customHeight="1"/>
    <row r="484" ht="14.25" hidden="1" customHeight="1"/>
    <row r="485" ht="14.25" hidden="1" customHeight="1"/>
    <row r="486" ht="14.25" hidden="1" customHeight="1"/>
    <row r="487" ht="14.25" hidden="1" customHeight="1"/>
    <row r="488" ht="14.25" hidden="1" customHeight="1"/>
    <row r="489" ht="14.25" hidden="1" customHeight="1"/>
    <row r="490" ht="14.25" hidden="1" customHeight="1"/>
    <row r="491" ht="14.25" hidden="1" customHeight="1"/>
    <row r="492" ht="14.25" hidden="1" customHeight="1"/>
    <row r="493" ht="14.25" hidden="1" customHeight="1"/>
    <row r="494" ht="14.25" hidden="1" customHeight="1"/>
    <row r="495" ht="14.25" hidden="1" customHeight="1"/>
    <row r="496" ht="14.25" hidden="1" customHeight="1"/>
    <row r="497" ht="14.25" hidden="1" customHeight="1"/>
    <row r="498" ht="14.25" hidden="1" customHeight="1"/>
    <row r="499" ht="14.25" hidden="1" customHeight="1"/>
    <row r="500" ht="14.25" hidden="1" customHeight="1"/>
    <row r="501" ht="14.25" hidden="1" customHeight="1"/>
    <row r="502" ht="14.25" hidden="1" customHeight="1"/>
    <row r="503" ht="14.25" hidden="1" customHeight="1"/>
    <row r="504" ht="14.25" hidden="1" customHeight="1"/>
    <row r="505" ht="14.25" hidden="1" customHeight="1"/>
    <row r="506" ht="14.25" hidden="1" customHeight="1"/>
    <row r="507" ht="14.25" hidden="1" customHeight="1"/>
    <row r="508" ht="14.25" hidden="1" customHeight="1"/>
    <row r="509" ht="14.25" hidden="1" customHeight="1"/>
    <row r="510" ht="14.25" hidden="1" customHeight="1"/>
    <row r="511" ht="14.25" hidden="1" customHeight="1"/>
    <row r="512" ht="14.25" hidden="1" customHeight="1"/>
    <row r="513" ht="14.25" hidden="1" customHeight="1"/>
    <row r="514" ht="14.25" hidden="1" customHeight="1"/>
    <row r="515" ht="14.25" hidden="1" customHeight="1"/>
    <row r="516" ht="14.25" hidden="1" customHeight="1"/>
    <row r="517" ht="14.25" hidden="1" customHeight="1"/>
    <row r="518" ht="14.25" hidden="1" customHeight="1"/>
    <row r="519" ht="14.25" hidden="1" customHeight="1"/>
    <row r="520" ht="14.25" hidden="1" customHeight="1"/>
    <row r="521" ht="14.25" hidden="1" customHeight="1"/>
    <row r="522" ht="14.25" hidden="1" customHeight="1"/>
    <row r="523" ht="14.25" hidden="1" customHeight="1"/>
    <row r="524" ht="14.25" hidden="1" customHeight="1"/>
    <row r="525" ht="14.25" hidden="1" customHeight="1"/>
    <row r="526" ht="14.25" hidden="1" customHeight="1"/>
    <row r="527" ht="14.25" hidden="1" customHeight="1"/>
    <row r="528" ht="14.25" hidden="1" customHeight="1"/>
    <row r="529" ht="14.25" hidden="1" customHeight="1"/>
    <row r="530" ht="14.25" hidden="1" customHeight="1"/>
    <row r="531" ht="14.25" hidden="1" customHeight="1"/>
    <row r="532" ht="14.25" hidden="1" customHeight="1"/>
    <row r="533" ht="14.25" hidden="1" customHeight="1"/>
    <row r="534" ht="14.25" hidden="1" customHeight="1"/>
    <row r="535" ht="14.25" hidden="1" customHeight="1"/>
    <row r="536" ht="14.25" hidden="1" customHeight="1"/>
    <row r="537" ht="14.25" hidden="1" customHeight="1"/>
    <row r="538" ht="14.25" hidden="1" customHeight="1"/>
    <row r="539" ht="14.25" hidden="1" customHeight="1"/>
    <row r="540" ht="14.25" hidden="1" customHeight="1"/>
    <row r="541" ht="14.25" hidden="1" customHeight="1"/>
    <row r="542" ht="14.25" hidden="1" customHeight="1"/>
    <row r="543" ht="14.25" hidden="1" customHeight="1"/>
    <row r="544" ht="14.25" hidden="1" customHeight="1"/>
    <row r="545" ht="14.25" hidden="1" customHeight="1"/>
    <row r="546" ht="14.25" hidden="1" customHeight="1"/>
    <row r="547" ht="14.25" hidden="1" customHeight="1"/>
    <row r="548" ht="14.25" hidden="1" customHeight="1"/>
    <row r="549" ht="14.25" hidden="1" customHeight="1"/>
    <row r="550" ht="14.25" hidden="1" customHeight="1"/>
    <row r="551" ht="14.25" hidden="1" customHeight="1"/>
    <row r="552" ht="14.25" hidden="1" customHeight="1"/>
    <row r="553" ht="14.25" hidden="1" customHeight="1"/>
    <row r="554" ht="14.25" hidden="1" customHeight="1"/>
    <row r="555" ht="14.25" hidden="1" customHeight="1"/>
    <row r="556" ht="14.25" hidden="1" customHeight="1"/>
    <row r="557" ht="14.25" hidden="1" customHeight="1"/>
    <row r="558" ht="14.25" hidden="1" customHeight="1"/>
    <row r="559" ht="14.25" hidden="1" customHeight="1"/>
    <row r="560" ht="14.25" hidden="1" customHeight="1"/>
    <row r="561" ht="14.25" hidden="1" customHeight="1"/>
    <row r="562" ht="14.25" hidden="1" customHeight="1"/>
    <row r="563" ht="14.25" hidden="1" customHeight="1"/>
    <row r="564" ht="14.25" hidden="1" customHeight="1"/>
    <row r="565" ht="14.25" hidden="1" customHeight="1"/>
    <row r="566" ht="14.25" hidden="1" customHeight="1"/>
    <row r="567" ht="14.25" hidden="1" customHeight="1"/>
    <row r="568" ht="14.25" hidden="1" customHeight="1"/>
    <row r="569" ht="14.25" hidden="1" customHeight="1"/>
    <row r="570" ht="14.25" hidden="1" customHeight="1"/>
    <row r="571" ht="14.25" hidden="1" customHeight="1"/>
    <row r="572" ht="14.25" hidden="1" customHeight="1"/>
    <row r="573" ht="14.25" hidden="1" customHeight="1"/>
    <row r="574" ht="14.25" hidden="1" customHeight="1"/>
    <row r="575" ht="14.25" hidden="1" customHeight="1"/>
    <row r="576" ht="14.25" hidden="1" customHeight="1"/>
    <row r="577" ht="14.25" hidden="1" customHeight="1"/>
    <row r="578" ht="14.25" hidden="1" customHeight="1"/>
    <row r="579" ht="14.25" hidden="1" customHeight="1"/>
    <row r="580" ht="14.25" hidden="1" customHeight="1"/>
    <row r="581" ht="14.25" hidden="1" customHeight="1"/>
    <row r="582" ht="14.25" hidden="1" customHeight="1"/>
    <row r="583" ht="14.25" hidden="1" customHeight="1"/>
    <row r="584" ht="14.25" hidden="1" customHeight="1"/>
    <row r="585" ht="14.25" hidden="1" customHeight="1"/>
    <row r="586" ht="14.25" hidden="1" customHeight="1"/>
    <row r="587" ht="14.25" hidden="1" customHeight="1"/>
    <row r="588" ht="14.25" hidden="1" customHeight="1"/>
    <row r="589" ht="14.25" hidden="1" customHeight="1"/>
    <row r="590" ht="14.25" hidden="1" customHeight="1"/>
    <row r="591" ht="14.25" hidden="1" customHeight="1"/>
    <row r="592" ht="14.25" hidden="1" customHeight="1"/>
    <row r="593" ht="14.25" hidden="1" customHeight="1"/>
    <row r="594" ht="14.25" hidden="1" customHeight="1"/>
    <row r="595" ht="14.25" hidden="1" customHeight="1"/>
    <row r="596" ht="14.25" hidden="1" customHeight="1"/>
    <row r="597" ht="14.25" hidden="1" customHeight="1"/>
    <row r="598" ht="14.25" hidden="1" customHeight="1"/>
    <row r="599" ht="14.25" hidden="1" customHeight="1"/>
    <row r="600" ht="14.25" hidden="1" customHeight="1"/>
    <row r="601" ht="14.25" hidden="1" customHeight="1"/>
    <row r="602" ht="14.25" hidden="1" customHeight="1"/>
    <row r="603" ht="14.25" hidden="1" customHeight="1"/>
    <row r="604" ht="14.25" hidden="1" customHeight="1"/>
    <row r="605" ht="14.25" hidden="1" customHeight="1"/>
    <row r="606" ht="14.25" hidden="1" customHeight="1"/>
    <row r="607" ht="14.25" hidden="1" customHeight="1"/>
    <row r="608" ht="14.25" hidden="1" customHeight="1"/>
    <row r="609" ht="14.25" hidden="1" customHeight="1"/>
    <row r="610" ht="14.25" hidden="1" customHeight="1"/>
    <row r="611" ht="14.25" hidden="1" customHeight="1"/>
    <row r="612" ht="14.25" hidden="1" customHeight="1"/>
    <row r="613" ht="14.25" hidden="1" customHeight="1"/>
    <row r="614" ht="14.25" hidden="1" customHeight="1"/>
    <row r="615" ht="14.25" hidden="1" customHeight="1"/>
    <row r="616" ht="14.25" hidden="1" customHeight="1"/>
    <row r="617" ht="14.25" hidden="1" customHeight="1"/>
    <row r="618" ht="14.25" hidden="1" customHeight="1"/>
    <row r="619" ht="14.25" hidden="1" customHeight="1"/>
    <row r="620" ht="14.25" hidden="1" customHeight="1"/>
    <row r="621" ht="14.25" hidden="1" customHeight="1"/>
    <row r="622" ht="14.25" hidden="1" customHeight="1"/>
    <row r="623" ht="14.25" hidden="1" customHeight="1"/>
    <row r="624" ht="14.25" hidden="1" customHeight="1"/>
    <row r="625" ht="14.25" hidden="1" customHeight="1"/>
    <row r="626" ht="14.25" hidden="1" customHeight="1"/>
    <row r="627" ht="14.25" hidden="1" customHeight="1"/>
    <row r="628" ht="14.25" hidden="1" customHeight="1"/>
    <row r="629" ht="14.25" hidden="1" customHeight="1"/>
    <row r="630" ht="14.25" hidden="1" customHeight="1"/>
    <row r="631" ht="14.25" hidden="1" customHeight="1"/>
    <row r="632" ht="14.25" hidden="1" customHeight="1"/>
    <row r="633" ht="14.25" hidden="1" customHeight="1"/>
    <row r="634" ht="14.25" hidden="1" customHeight="1"/>
    <row r="635" ht="14.25" hidden="1" customHeight="1"/>
    <row r="636" ht="14.25" hidden="1" customHeight="1"/>
    <row r="637" ht="14.25" hidden="1" customHeight="1"/>
    <row r="638" ht="14.25" hidden="1" customHeight="1"/>
    <row r="639" ht="14.25" hidden="1" customHeight="1"/>
    <row r="640" ht="14.25" hidden="1" customHeight="1"/>
    <row r="641" ht="14.25" hidden="1" customHeight="1"/>
    <row r="642" ht="14.25" hidden="1" customHeight="1"/>
    <row r="643" ht="14.25" hidden="1" customHeight="1"/>
    <row r="644" ht="14.25" hidden="1" customHeight="1"/>
    <row r="645" ht="14.25" hidden="1" customHeight="1"/>
    <row r="646" ht="14.25" hidden="1" customHeight="1"/>
    <row r="647" ht="14.25" hidden="1" customHeight="1"/>
    <row r="648" ht="14.25" hidden="1" customHeight="1"/>
    <row r="649" ht="14.25" hidden="1" customHeight="1"/>
    <row r="650" ht="14.25" hidden="1" customHeight="1"/>
    <row r="651" ht="14.25" hidden="1" customHeight="1"/>
    <row r="652" ht="14.25" hidden="1" customHeight="1"/>
    <row r="653" ht="14.25" hidden="1" customHeight="1"/>
    <row r="654" ht="14.25" hidden="1" customHeight="1"/>
    <row r="655" ht="14.25" hidden="1" customHeight="1"/>
    <row r="656" ht="14.25" hidden="1" customHeight="1"/>
    <row r="657" ht="14.25" hidden="1" customHeight="1"/>
    <row r="658" ht="14.25" hidden="1" customHeight="1"/>
    <row r="659" ht="14.25" hidden="1" customHeight="1"/>
    <row r="660" ht="14.25" hidden="1" customHeight="1"/>
    <row r="661" ht="14.25" hidden="1" customHeight="1"/>
    <row r="662" ht="14.25" hidden="1" customHeight="1"/>
    <row r="663" ht="14.25" hidden="1" customHeight="1"/>
    <row r="664" ht="14.25" hidden="1" customHeight="1"/>
    <row r="665" ht="14.25" hidden="1" customHeight="1"/>
    <row r="666" ht="14.25" hidden="1" customHeight="1"/>
    <row r="667" ht="14.25" hidden="1" customHeight="1"/>
    <row r="668" ht="14.25" hidden="1" customHeight="1"/>
    <row r="669" ht="14.25" hidden="1" customHeight="1"/>
    <row r="670" ht="14.25" hidden="1" customHeight="1"/>
    <row r="671" ht="14.25" hidden="1" customHeight="1"/>
    <row r="672" ht="14.25" hidden="1" customHeight="1"/>
    <row r="673" ht="14.25" hidden="1" customHeight="1"/>
    <row r="674" ht="14.25" hidden="1" customHeight="1"/>
    <row r="675" ht="14.25" hidden="1" customHeight="1"/>
    <row r="676" ht="14.25" hidden="1" customHeight="1"/>
    <row r="677" ht="14.25" hidden="1" customHeight="1"/>
    <row r="678" ht="14.25" hidden="1" customHeight="1"/>
    <row r="679" ht="14.25" hidden="1" customHeight="1"/>
    <row r="680" ht="14.25" hidden="1" customHeight="1"/>
    <row r="681" ht="14.25" hidden="1" customHeight="1"/>
    <row r="682" ht="14.25" hidden="1" customHeight="1"/>
    <row r="683" ht="14.25" hidden="1" customHeight="1"/>
    <row r="684" ht="14.25" hidden="1" customHeight="1"/>
    <row r="685" ht="14.25" hidden="1" customHeight="1"/>
    <row r="686" ht="14.25" hidden="1" customHeight="1"/>
    <row r="687" ht="14.25" hidden="1" customHeight="1"/>
    <row r="688" ht="14.25" hidden="1" customHeight="1"/>
    <row r="689" ht="14.25" hidden="1" customHeight="1"/>
    <row r="690" ht="14.25" hidden="1" customHeight="1"/>
    <row r="691" ht="14.25" hidden="1" customHeight="1"/>
    <row r="692" ht="14.25" hidden="1" customHeight="1"/>
    <row r="693" ht="14.25" hidden="1" customHeight="1"/>
    <row r="694" ht="14.25" hidden="1" customHeight="1"/>
    <row r="695" ht="14.25" hidden="1" customHeight="1"/>
    <row r="696" ht="14.25" hidden="1" customHeight="1"/>
    <row r="697" ht="14.25" hidden="1" customHeight="1"/>
    <row r="698" ht="14.25" hidden="1" customHeight="1"/>
    <row r="699" ht="14.25" hidden="1" customHeight="1"/>
    <row r="700" ht="14.25" hidden="1" customHeight="1"/>
    <row r="701" ht="14.25" hidden="1" customHeight="1"/>
    <row r="702" ht="14.25" hidden="1" customHeight="1"/>
    <row r="703" ht="14.25" hidden="1" customHeight="1"/>
    <row r="704" ht="14.25" hidden="1" customHeight="1"/>
    <row r="705" ht="14.25" hidden="1" customHeight="1"/>
    <row r="706" ht="14.25" hidden="1" customHeight="1"/>
    <row r="707" ht="14.25" hidden="1" customHeight="1"/>
    <row r="708" ht="14.25" hidden="1" customHeight="1"/>
    <row r="709" ht="14.25" hidden="1" customHeight="1"/>
    <row r="710" ht="14.25" hidden="1" customHeight="1"/>
    <row r="711" ht="14.25" hidden="1" customHeight="1"/>
    <row r="712" ht="14.25" hidden="1" customHeight="1"/>
    <row r="713" ht="14.25" hidden="1" customHeight="1"/>
    <row r="714" ht="14.25" hidden="1" customHeight="1"/>
    <row r="715" ht="14.25" hidden="1" customHeight="1"/>
    <row r="716" ht="14.25" hidden="1" customHeight="1"/>
    <row r="717" ht="14.25" hidden="1" customHeight="1"/>
    <row r="718" ht="14.25" hidden="1" customHeight="1"/>
    <row r="719" ht="14.25" hidden="1" customHeight="1"/>
    <row r="720" ht="14.25" hidden="1" customHeight="1"/>
    <row r="721" ht="14.25" hidden="1" customHeight="1"/>
    <row r="722" ht="14.25" hidden="1" customHeight="1"/>
    <row r="723" ht="14.25" hidden="1" customHeight="1"/>
    <row r="724" ht="14.25" hidden="1" customHeight="1"/>
    <row r="725" ht="14.25" hidden="1" customHeight="1"/>
    <row r="726" ht="14.25" hidden="1" customHeight="1"/>
    <row r="727" ht="14.25" hidden="1" customHeight="1"/>
    <row r="728" ht="14.25" hidden="1" customHeight="1"/>
    <row r="729" ht="14.25" hidden="1" customHeight="1"/>
    <row r="730" ht="14.25" hidden="1" customHeight="1"/>
    <row r="731" ht="14.25" hidden="1" customHeight="1"/>
    <row r="732" ht="14.25" hidden="1" customHeight="1"/>
    <row r="733" ht="14.25" hidden="1" customHeight="1"/>
    <row r="734" ht="14.25" hidden="1" customHeight="1"/>
    <row r="735" ht="14.25" hidden="1" customHeight="1"/>
    <row r="736" ht="14.25" hidden="1" customHeight="1"/>
    <row r="737" ht="14.25" hidden="1" customHeight="1"/>
    <row r="738" ht="14.25" hidden="1" customHeight="1"/>
    <row r="739" ht="14.25" hidden="1" customHeight="1"/>
    <row r="740" ht="14.25" hidden="1" customHeight="1"/>
    <row r="741" ht="14.25" hidden="1" customHeight="1"/>
    <row r="742" ht="14.25" hidden="1" customHeight="1"/>
    <row r="743" ht="14.25" hidden="1" customHeight="1"/>
    <row r="744" ht="14.25" hidden="1" customHeight="1"/>
    <row r="745" ht="14.25" hidden="1" customHeight="1"/>
    <row r="746" ht="14.25" hidden="1" customHeight="1"/>
    <row r="747" ht="14.25" hidden="1" customHeight="1"/>
    <row r="748" ht="14.25" hidden="1" customHeight="1"/>
    <row r="749" ht="14.25" hidden="1" customHeight="1"/>
    <row r="750" ht="14.25" hidden="1" customHeight="1"/>
    <row r="751" ht="14.25" hidden="1" customHeight="1"/>
    <row r="752" ht="14.25" hidden="1" customHeight="1"/>
    <row r="753" ht="14.25" hidden="1" customHeight="1"/>
    <row r="754" ht="14.25" hidden="1" customHeight="1"/>
    <row r="755" ht="14.25" hidden="1" customHeight="1"/>
    <row r="756" ht="14.25" hidden="1" customHeight="1"/>
    <row r="757" ht="14.25" hidden="1" customHeight="1"/>
    <row r="758" ht="14.25" hidden="1" customHeight="1"/>
    <row r="759" ht="14.25" hidden="1" customHeight="1"/>
    <row r="760" ht="14.25" hidden="1" customHeight="1"/>
    <row r="761" ht="14.25" hidden="1" customHeight="1"/>
    <row r="762" ht="14.25" hidden="1" customHeight="1"/>
    <row r="763" ht="14.25" hidden="1" customHeight="1"/>
    <row r="764" ht="14.25" hidden="1" customHeight="1"/>
    <row r="765" ht="14.25" hidden="1" customHeight="1"/>
    <row r="766" ht="14.25" hidden="1" customHeight="1"/>
    <row r="767" ht="14.25" hidden="1" customHeight="1"/>
    <row r="768" ht="14.25" hidden="1" customHeight="1"/>
    <row r="769" ht="14.25" hidden="1" customHeight="1"/>
    <row r="770" ht="14.25" hidden="1" customHeight="1"/>
    <row r="771" ht="14.25" hidden="1" customHeight="1"/>
    <row r="772" ht="14.25" hidden="1" customHeight="1"/>
    <row r="773" ht="14.25" hidden="1" customHeight="1"/>
    <row r="774" ht="14.25" hidden="1" customHeight="1"/>
    <row r="775" ht="14.25" hidden="1" customHeight="1"/>
    <row r="776" ht="14.25" hidden="1" customHeight="1"/>
    <row r="777" ht="14.25" hidden="1" customHeight="1"/>
    <row r="778" ht="14.25" hidden="1" customHeight="1"/>
    <row r="779" ht="14.25" hidden="1" customHeight="1"/>
    <row r="780" ht="14.25" hidden="1" customHeight="1"/>
    <row r="781" ht="14.25" hidden="1" customHeight="1"/>
    <row r="782" ht="14.25" hidden="1" customHeight="1"/>
    <row r="783" ht="14.25" hidden="1" customHeight="1"/>
    <row r="784" ht="14.25" hidden="1" customHeight="1"/>
    <row r="785" ht="14.25" hidden="1" customHeight="1"/>
    <row r="786" ht="14.25" hidden="1" customHeight="1"/>
    <row r="787" ht="14.25" hidden="1" customHeight="1"/>
    <row r="788" ht="14.25" hidden="1" customHeight="1"/>
    <row r="789" ht="14.25" hidden="1" customHeight="1"/>
    <row r="790" ht="14.25" hidden="1" customHeight="1"/>
    <row r="791" ht="14.25" hidden="1" customHeight="1"/>
    <row r="792" ht="14.25" hidden="1" customHeight="1"/>
    <row r="793" ht="14.25" hidden="1" customHeight="1"/>
    <row r="794" ht="14.25" hidden="1" customHeight="1"/>
    <row r="795" ht="14.25" hidden="1" customHeight="1"/>
    <row r="796" ht="14.25" hidden="1" customHeight="1"/>
    <row r="797" ht="14.25" hidden="1" customHeight="1"/>
    <row r="798" ht="14.25" hidden="1" customHeight="1"/>
    <row r="799" ht="14.25" hidden="1" customHeight="1"/>
    <row r="800" ht="14.25" hidden="1" customHeight="1"/>
    <row r="801" ht="14.25" hidden="1" customHeight="1"/>
    <row r="802" ht="14.25" hidden="1" customHeight="1"/>
    <row r="803" ht="14.25" hidden="1" customHeight="1"/>
    <row r="804" ht="14.25" hidden="1" customHeight="1"/>
    <row r="805" ht="14.25" hidden="1" customHeight="1"/>
    <row r="806" ht="14.25" hidden="1" customHeight="1"/>
    <row r="807" ht="14.25" hidden="1" customHeight="1"/>
    <row r="808" ht="14.25" hidden="1" customHeight="1"/>
    <row r="809" ht="14.25" hidden="1" customHeight="1"/>
    <row r="810" ht="14.25" hidden="1" customHeight="1"/>
    <row r="811" ht="14.25" hidden="1" customHeight="1"/>
    <row r="812" ht="14.25" hidden="1" customHeight="1"/>
    <row r="813" ht="14.25" hidden="1" customHeight="1"/>
    <row r="814" ht="14.25" hidden="1" customHeight="1"/>
    <row r="815" ht="14.25" hidden="1" customHeight="1"/>
    <row r="816" ht="14.25" hidden="1" customHeight="1"/>
    <row r="817" ht="14.25" hidden="1" customHeight="1"/>
    <row r="818" ht="14.25" hidden="1" customHeight="1"/>
    <row r="819" ht="14.25" hidden="1" customHeight="1"/>
    <row r="820" ht="14.25" hidden="1" customHeight="1"/>
    <row r="821" ht="14.25" hidden="1" customHeight="1"/>
    <row r="822" ht="14.25" hidden="1" customHeight="1"/>
    <row r="823" ht="14.25" hidden="1" customHeight="1"/>
    <row r="824" ht="14.25" hidden="1" customHeight="1"/>
    <row r="825" ht="14.25" hidden="1" customHeight="1"/>
    <row r="826" ht="14.25" hidden="1" customHeight="1"/>
    <row r="827" ht="14.25" hidden="1" customHeight="1"/>
    <row r="828" ht="14.25" hidden="1" customHeight="1"/>
    <row r="829" ht="14.25" hidden="1" customHeight="1"/>
    <row r="830" ht="14.25" hidden="1" customHeight="1"/>
    <row r="831" ht="14.25" hidden="1" customHeight="1"/>
    <row r="832" ht="14.25" hidden="1" customHeight="1"/>
    <row r="833" ht="14.25" hidden="1" customHeight="1"/>
    <row r="834" ht="14.25" hidden="1" customHeight="1"/>
    <row r="835" ht="14.25" hidden="1" customHeight="1"/>
    <row r="836" ht="14.25" hidden="1" customHeight="1"/>
    <row r="837" ht="14.25" hidden="1" customHeight="1"/>
    <row r="838" ht="14.25" hidden="1" customHeight="1"/>
    <row r="839" ht="14.25" hidden="1" customHeight="1"/>
    <row r="840" ht="14.25" hidden="1" customHeight="1"/>
    <row r="841" ht="14.25" hidden="1" customHeight="1"/>
    <row r="842" ht="14.25" hidden="1" customHeight="1"/>
    <row r="843" ht="14.25" hidden="1" customHeight="1"/>
    <row r="844" ht="14.25" hidden="1" customHeight="1"/>
    <row r="845" ht="14.25" hidden="1" customHeight="1"/>
    <row r="846" ht="14.25" hidden="1" customHeight="1"/>
    <row r="847" ht="14.25" hidden="1" customHeight="1"/>
    <row r="848" ht="14.25" hidden="1" customHeight="1"/>
    <row r="849" ht="14.25" hidden="1" customHeight="1"/>
    <row r="850" ht="14.25" hidden="1" customHeight="1"/>
    <row r="851" ht="14.25" hidden="1" customHeight="1"/>
    <row r="852" ht="14.25" hidden="1" customHeight="1"/>
    <row r="853" ht="14.25" hidden="1" customHeight="1"/>
    <row r="854" ht="14.25" hidden="1" customHeight="1"/>
    <row r="855" ht="14.25" hidden="1" customHeight="1"/>
    <row r="856" ht="14.25" hidden="1" customHeight="1"/>
    <row r="857" ht="14.25" hidden="1" customHeight="1"/>
    <row r="858" ht="14.25" hidden="1" customHeight="1"/>
    <row r="859" ht="14.25" hidden="1" customHeight="1"/>
    <row r="860" ht="14.25" hidden="1" customHeight="1"/>
    <row r="861" ht="14.25" hidden="1" customHeight="1"/>
    <row r="862" ht="14.25" hidden="1" customHeight="1"/>
    <row r="863" ht="14.25" hidden="1" customHeight="1"/>
    <row r="864" ht="14.25" hidden="1" customHeight="1"/>
    <row r="865" ht="14.25" hidden="1" customHeight="1"/>
    <row r="866" ht="14.25" hidden="1" customHeight="1"/>
    <row r="867" ht="14.25" hidden="1" customHeight="1"/>
    <row r="868" ht="14.25" hidden="1" customHeight="1"/>
    <row r="869" ht="14.25" hidden="1" customHeight="1"/>
    <row r="870" ht="14.25" hidden="1" customHeight="1"/>
    <row r="871" ht="14.25" hidden="1" customHeight="1"/>
    <row r="872" ht="14.25" hidden="1" customHeight="1"/>
    <row r="873" ht="14.25" hidden="1" customHeight="1"/>
    <row r="874" ht="14.25" hidden="1" customHeight="1"/>
    <row r="875" ht="14.25" hidden="1" customHeight="1"/>
    <row r="876" ht="14.25" hidden="1" customHeight="1"/>
    <row r="877" ht="14.25" hidden="1" customHeight="1"/>
    <row r="878" ht="14.25" hidden="1" customHeight="1"/>
    <row r="879" ht="14.25" hidden="1" customHeight="1"/>
    <row r="880" ht="14.25" hidden="1" customHeight="1"/>
    <row r="881" ht="14.25" hidden="1" customHeight="1"/>
    <row r="882" ht="14.25" hidden="1" customHeight="1"/>
    <row r="883" ht="14.25" hidden="1" customHeight="1"/>
    <row r="884" ht="14.25" hidden="1" customHeight="1"/>
    <row r="885" ht="14.25" hidden="1" customHeight="1"/>
    <row r="886" ht="14.25" hidden="1" customHeight="1"/>
    <row r="887" ht="14.25" hidden="1" customHeight="1"/>
    <row r="888" ht="14.25" hidden="1" customHeight="1"/>
    <row r="889" ht="14.25" hidden="1" customHeight="1"/>
    <row r="890" ht="14.25" hidden="1" customHeight="1"/>
    <row r="891" ht="14.25" hidden="1" customHeight="1"/>
    <row r="892" ht="14.25" hidden="1" customHeight="1"/>
    <row r="893" ht="14.25" hidden="1" customHeight="1"/>
    <row r="894" ht="14.25" hidden="1" customHeight="1"/>
    <row r="895" ht="14.25" hidden="1" customHeight="1"/>
    <row r="896" ht="14.25" hidden="1" customHeight="1"/>
    <row r="897" ht="14.25" hidden="1" customHeight="1"/>
    <row r="898" ht="14.25" hidden="1" customHeight="1"/>
    <row r="899" ht="14.25" hidden="1" customHeight="1"/>
    <row r="900" ht="14.25" hidden="1" customHeight="1"/>
    <row r="901" ht="14.25" hidden="1" customHeight="1"/>
    <row r="902" ht="14.25" hidden="1" customHeight="1"/>
    <row r="903" ht="14.25" hidden="1" customHeight="1"/>
    <row r="904" ht="14.25" hidden="1" customHeight="1"/>
    <row r="905" ht="14.25" hidden="1" customHeight="1"/>
    <row r="906" ht="14.25" hidden="1" customHeight="1"/>
    <row r="907" ht="14.25" hidden="1" customHeight="1"/>
    <row r="908" ht="14.25" hidden="1" customHeight="1"/>
    <row r="909" ht="14.25" hidden="1" customHeight="1"/>
    <row r="910" ht="14.25" hidden="1" customHeight="1"/>
    <row r="911" ht="14.25" hidden="1" customHeight="1"/>
    <row r="912" ht="14.25" hidden="1" customHeight="1"/>
    <row r="913" ht="14.25" hidden="1" customHeight="1"/>
    <row r="914" ht="14.25" hidden="1" customHeight="1"/>
    <row r="915" ht="14.25" hidden="1" customHeight="1"/>
    <row r="916" ht="14.25" hidden="1" customHeight="1"/>
    <row r="917" ht="14.25" hidden="1" customHeight="1"/>
    <row r="918" ht="14.25" hidden="1" customHeight="1"/>
    <row r="919" ht="14.25" hidden="1" customHeight="1"/>
    <row r="920" ht="14.25" hidden="1" customHeight="1"/>
    <row r="921" ht="14.25" hidden="1" customHeight="1"/>
    <row r="922" ht="14.25" hidden="1" customHeight="1"/>
    <row r="923" ht="14.25" hidden="1" customHeight="1"/>
    <row r="924" ht="14.25" hidden="1" customHeight="1"/>
    <row r="925" ht="14.25" hidden="1" customHeight="1"/>
    <row r="926" ht="14.25" hidden="1" customHeight="1"/>
    <row r="927" ht="14.25" hidden="1" customHeight="1"/>
    <row r="928" ht="14.25" hidden="1" customHeight="1"/>
    <row r="929" ht="14.25" hidden="1" customHeight="1"/>
    <row r="930" ht="14.25" hidden="1" customHeight="1"/>
    <row r="931" ht="14.25" hidden="1" customHeight="1"/>
    <row r="932" ht="14.25" hidden="1" customHeight="1"/>
    <row r="933" ht="14.25" hidden="1" customHeight="1"/>
    <row r="934" ht="14.25" hidden="1" customHeight="1"/>
    <row r="935" ht="14.25" hidden="1" customHeight="1"/>
    <row r="936" ht="14.25" hidden="1" customHeight="1"/>
    <row r="937" ht="14.25" hidden="1" customHeight="1"/>
    <row r="938" ht="14.25" hidden="1" customHeight="1"/>
    <row r="939" ht="14.25" hidden="1" customHeight="1"/>
    <row r="940" ht="14.25" hidden="1" customHeight="1"/>
    <row r="941" ht="14.25" hidden="1" customHeight="1"/>
    <row r="942" ht="14.25" hidden="1" customHeight="1"/>
    <row r="943" ht="14.25" hidden="1" customHeight="1"/>
    <row r="944" ht="14.25" hidden="1" customHeight="1"/>
    <row r="945" ht="14.25" hidden="1" customHeight="1"/>
    <row r="946" ht="14.25" hidden="1" customHeight="1"/>
    <row r="947" ht="14.25" hidden="1" customHeight="1"/>
    <row r="948" ht="14.25" hidden="1" customHeight="1"/>
    <row r="949" ht="14.25" hidden="1" customHeight="1"/>
    <row r="950" ht="14.25" hidden="1" customHeight="1"/>
    <row r="951" ht="14.25" hidden="1" customHeight="1"/>
    <row r="952" ht="14.25" hidden="1" customHeight="1"/>
    <row r="953" ht="14.25" hidden="1" customHeight="1"/>
    <row r="954" ht="14.25" hidden="1" customHeight="1"/>
    <row r="955" ht="14.25" hidden="1" customHeight="1"/>
    <row r="956" ht="14.25" hidden="1" customHeight="1"/>
    <row r="957" ht="14.25" hidden="1" customHeight="1"/>
    <row r="958" ht="14.25" hidden="1" customHeight="1"/>
    <row r="959" ht="14.25" hidden="1" customHeight="1"/>
    <row r="960" ht="14.25" hidden="1" customHeight="1"/>
    <row r="961" ht="14.25" hidden="1" customHeight="1"/>
    <row r="962" ht="14.25" hidden="1" customHeight="1"/>
    <row r="963" ht="14.25" hidden="1" customHeight="1"/>
    <row r="964" ht="14.25" hidden="1" customHeight="1"/>
    <row r="965" ht="14.25" hidden="1" customHeight="1"/>
    <row r="966" ht="14.25" hidden="1" customHeight="1"/>
    <row r="967" ht="14.25" hidden="1" customHeight="1"/>
    <row r="968" ht="14.25" hidden="1" customHeight="1"/>
    <row r="969" ht="14.25" hidden="1" customHeight="1"/>
    <row r="970" ht="14.25" hidden="1" customHeight="1"/>
    <row r="971" ht="14.25" hidden="1" customHeight="1"/>
    <row r="972" ht="14.25" hidden="1" customHeight="1"/>
    <row r="973" ht="14.25" hidden="1" customHeight="1"/>
    <row r="974" ht="14.25" hidden="1" customHeight="1"/>
    <row r="975" ht="14.25" hidden="1" customHeight="1"/>
    <row r="976" ht="14.25" hidden="1" customHeight="1"/>
    <row r="977" ht="14.25" hidden="1" customHeight="1"/>
    <row r="978" ht="14.25" hidden="1" customHeight="1"/>
    <row r="979" ht="14.25" hidden="1" customHeight="1"/>
    <row r="980" ht="14.25" hidden="1" customHeight="1"/>
    <row r="981" ht="14.25" hidden="1" customHeight="1"/>
    <row r="982" ht="14.25" hidden="1" customHeight="1"/>
    <row r="983" ht="14.25" hidden="1" customHeight="1"/>
    <row r="984" ht="14.25" hidden="1" customHeight="1"/>
    <row r="985" ht="14.25" hidden="1" customHeight="1"/>
    <row r="986" ht="14.25" hidden="1" customHeight="1"/>
    <row r="987" ht="14.25" hidden="1" customHeight="1"/>
    <row r="988" ht="14.25" hidden="1" customHeight="1"/>
    <row r="989" ht="14.25" hidden="1" customHeight="1"/>
    <row r="990" ht="14.25" hidden="1" customHeight="1"/>
    <row r="991" ht="14.25" hidden="1" customHeight="1"/>
    <row r="992" ht="14.25" hidden="1" customHeight="1"/>
    <row r="993" ht="14.25" hidden="1" customHeight="1"/>
    <row r="994" ht="14.25" hidden="1" customHeight="1"/>
    <row r="995" ht="14.25" hidden="1" customHeight="1"/>
    <row r="996" ht="14.25" hidden="1" customHeight="1"/>
    <row r="997" ht="14.25" hidden="1" customHeight="1"/>
    <row r="998" ht="14.25" hidden="1" customHeight="1"/>
    <row r="999" ht="14.25" hidden="1" customHeight="1"/>
    <row r="1000" ht="14.25" hidden="1" customHeight="1"/>
  </sheetData>
  <pageMargins left="0.7" right="0.7" top="0.75" bottom="0.75" header="0" footer="0"/>
  <pageSetup paperSize="1" orientation="landscape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D1000"/>
  <sheetViews>
    <sheetView showGridLines="0" tabSelected="1" workbookViewId="0">
      <selection activeCell="AI18" sqref="AI18"/>
    </sheetView>
  </sheetViews>
  <sheetFormatPr defaultColWidth="14.4259259259259" defaultRowHeight="15" customHeight="1"/>
  <cols>
    <col min="1" max="1" width="4.13888888888889" customWidth="1"/>
    <col min="2" max="2" width="9.28703703703704" customWidth="1"/>
    <col min="3" max="3" width="2.13888888888889" customWidth="1"/>
    <col min="4" max="4" width="9.28703703703704" customWidth="1"/>
    <col min="5" max="5" width="10" customWidth="1"/>
    <col min="6" max="6" width="4.28703703703704" customWidth="1"/>
    <col min="7" max="7" width="10.287037037037" customWidth="1"/>
    <col min="8" max="8" width="7.86111111111111" customWidth="1"/>
    <col min="9" max="9" width="5" customWidth="1"/>
    <col min="10" max="10" width="11.287037037037" customWidth="1"/>
    <col min="11" max="11" width="8.71296296296296" customWidth="1"/>
    <col min="12" max="12" width="16.4259259259259" customWidth="1"/>
    <col min="13" max="13" width="14.712962962963" customWidth="1"/>
    <col min="14" max="15" width="13.1388888888889" customWidth="1"/>
    <col min="16" max="16" width="8.71296296296296" customWidth="1"/>
    <col min="17" max="27" width="8.71296296296296" hidden="1" customWidth="1"/>
    <col min="28" max="28" width="9" hidden="1" customWidth="1"/>
    <col min="29" max="30" width="8.71296296296296" hidden="1" customWidth="1"/>
  </cols>
  <sheetData>
    <row r="1" ht="14.25" customHeight="1"/>
    <row r="2" ht="14.25" customHeight="1" spans="10:30">
      <c r="J2" s="4"/>
      <c r="AB2" s="4" t="s">
        <v>30</v>
      </c>
      <c r="AD2" s="12" t="s">
        <v>31</v>
      </c>
    </row>
    <row r="3" ht="14.25" customHeight="1" spans="12:30">
      <c r="L3" s="1" t="s">
        <v>32</v>
      </c>
      <c r="M3" s="2"/>
      <c r="N3" s="2"/>
      <c r="O3" s="3"/>
      <c r="AB3" s="4" t="s">
        <v>12</v>
      </c>
      <c r="AD3" s="12">
        <v>0</v>
      </c>
    </row>
    <row r="4" ht="14.25" customHeight="1" spans="2:30">
      <c r="B4" s="1" t="s">
        <v>33</v>
      </c>
      <c r="C4" s="2"/>
      <c r="D4" s="3"/>
      <c r="E4" s="1" t="s">
        <v>34</v>
      </c>
      <c r="F4" s="2"/>
      <c r="G4" s="3"/>
      <c r="L4" s="23" t="s">
        <v>35</v>
      </c>
      <c r="M4" s="23" t="s">
        <v>2</v>
      </c>
      <c r="N4" s="23" t="s">
        <v>36</v>
      </c>
      <c r="O4" s="23" t="s">
        <v>37</v>
      </c>
      <c r="AB4" s="4" t="s">
        <v>20</v>
      </c>
      <c r="AD4" s="12">
        <v>1</v>
      </c>
    </row>
    <row r="5" ht="14.25" customHeight="1" spans="1:30">
      <c r="A5" s="4">
        <v>1</v>
      </c>
      <c r="B5" s="5" t="s">
        <v>12</v>
      </c>
      <c r="C5" s="6" t="s">
        <v>38</v>
      </c>
      <c r="D5" s="7" t="s">
        <v>20</v>
      </c>
      <c r="E5" s="5">
        <v>2</v>
      </c>
      <c r="F5" s="38" t="s">
        <v>39</v>
      </c>
      <c r="G5" s="7">
        <v>0</v>
      </c>
      <c r="H5" s="9">
        <f t="shared" ref="H5:H24" si="0">+IF(E5="","",IF(E5&gt;G5,3,IF(E5=G5,1,0)))</f>
        <v>3</v>
      </c>
      <c r="I5" s="9">
        <f t="shared" ref="I5:I24" si="1">+IF(G5="","",IF(E5&lt;G5,3,IF(E5=G5,1,0)))</f>
        <v>0</v>
      </c>
      <c r="K5" s="4">
        <v>1</v>
      </c>
      <c r="L5" s="24" t="s">
        <v>13</v>
      </c>
      <c r="M5" s="25" t="str">
        <f>+IFERROR(VLOOKUP(L5,Registro!$B$3:$C$26,2,0),"")</f>
        <v>Amarillo</v>
      </c>
      <c r="N5" s="24">
        <v>2</v>
      </c>
      <c r="O5" s="24">
        <v>2</v>
      </c>
      <c r="AB5" s="4" t="s">
        <v>4</v>
      </c>
      <c r="AD5" s="12">
        <v>2</v>
      </c>
    </row>
    <row r="6" ht="14.25" customHeight="1" spans="1:30">
      <c r="A6" s="4">
        <v>2</v>
      </c>
      <c r="B6" s="10" t="s">
        <v>12</v>
      </c>
      <c r="C6" s="4" t="s">
        <v>38</v>
      </c>
      <c r="D6" s="11" t="s">
        <v>4</v>
      </c>
      <c r="E6" s="10">
        <v>1</v>
      </c>
      <c r="F6" s="39" t="s">
        <v>39</v>
      </c>
      <c r="G6" s="11">
        <v>0</v>
      </c>
      <c r="H6" s="9">
        <f t="shared" si="0"/>
        <v>3</v>
      </c>
      <c r="I6" s="9">
        <f t="shared" si="1"/>
        <v>0</v>
      </c>
      <c r="K6" s="4">
        <v>2</v>
      </c>
      <c r="L6" s="26" t="s">
        <v>11</v>
      </c>
      <c r="M6" s="27" t="str">
        <f>+IFERROR(VLOOKUP(L6,Registro!$B$3:$C$26,2,0),"")</f>
        <v>Amarillo</v>
      </c>
      <c r="N6" s="26">
        <v>6</v>
      </c>
      <c r="O6" s="26">
        <v>2</v>
      </c>
      <c r="AD6" s="12">
        <v>3</v>
      </c>
    </row>
    <row r="7" ht="14.25" customHeight="1" spans="1:30">
      <c r="A7" s="4">
        <v>3</v>
      </c>
      <c r="B7" s="10" t="s">
        <v>12</v>
      </c>
      <c r="C7" s="4" t="s">
        <v>38</v>
      </c>
      <c r="D7" s="11" t="s">
        <v>20</v>
      </c>
      <c r="E7" s="10">
        <v>0</v>
      </c>
      <c r="F7" s="39" t="s">
        <v>39</v>
      </c>
      <c r="G7" s="11">
        <v>1</v>
      </c>
      <c r="H7" s="9">
        <f t="shared" si="0"/>
        <v>0</v>
      </c>
      <c r="I7" s="9">
        <f t="shared" si="1"/>
        <v>3</v>
      </c>
      <c r="K7" s="4">
        <v>3</v>
      </c>
      <c r="L7" s="26" t="s">
        <v>17</v>
      </c>
      <c r="M7" s="27" t="str">
        <f>+IFERROR(VLOOKUP(L7,Registro!$B$3:$C$26,2,0),"")</f>
        <v>Amarillo</v>
      </c>
      <c r="N7" s="27"/>
      <c r="O7" s="26">
        <v>1</v>
      </c>
      <c r="AD7" s="12">
        <v>4</v>
      </c>
    </row>
    <row r="8" ht="14.25" customHeight="1" spans="1:30">
      <c r="A8" s="4">
        <v>4</v>
      </c>
      <c r="B8" s="10" t="s">
        <v>20</v>
      </c>
      <c r="C8" s="4" t="s">
        <v>38</v>
      </c>
      <c r="D8" s="11" t="s">
        <v>4</v>
      </c>
      <c r="E8" s="10">
        <v>1</v>
      </c>
      <c r="F8" s="39" t="s">
        <v>39</v>
      </c>
      <c r="G8" s="11">
        <v>0</v>
      </c>
      <c r="H8" s="9">
        <f t="shared" si="0"/>
        <v>3</v>
      </c>
      <c r="I8" s="9">
        <f t="shared" si="1"/>
        <v>0</v>
      </c>
      <c r="K8" s="4">
        <v>4</v>
      </c>
      <c r="L8" s="26" t="s">
        <v>19</v>
      </c>
      <c r="M8" s="27" t="str">
        <f>+IFERROR(VLOOKUP(L8,Registro!$B$3:$C$26,2,0),"")</f>
        <v>Rojo</v>
      </c>
      <c r="N8" s="26">
        <v>5</v>
      </c>
      <c r="O8" s="26">
        <v>1</v>
      </c>
      <c r="AD8" s="12">
        <v>5</v>
      </c>
    </row>
    <row r="9" ht="14.25" customHeight="1" spans="1:30">
      <c r="A9" s="4">
        <v>5</v>
      </c>
      <c r="B9" s="10" t="s">
        <v>20</v>
      </c>
      <c r="C9" s="4" t="s">
        <v>38</v>
      </c>
      <c r="D9" s="11" t="s">
        <v>12</v>
      </c>
      <c r="E9" s="10">
        <v>1</v>
      </c>
      <c r="F9" s="39" t="s">
        <v>39</v>
      </c>
      <c r="G9" s="11">
        <v>2</v>
      </c>
      <c r="H9" s="9">
        <f t="shared" si="0"/>
        <v>0</v>
      </c>
      <c r="I9" s="9">
        <f t="shared" si="1"/>
        <v>3</v>
      </c>
      <c r="K9" s="4">
        <v>5</v>
      </c>
      <c r="L9" s="26" t="s">
        <v>24</v>
      </c>
      <c r="M9" s="27" t="str">
        <f>+IFERROR(VLOOKUP(L9,Registro!$B$3:$C$26,2,0),"")</f>
        <v>Rojo</v>
      </c>
      <c r="N9" s="26">
        <v>1</v>
      </c>
      <c r="O9" s="26">
        <v>2</v>
      </c>
      <c r="AD9" s="12">
        <v>6</v>
      </c>
    </row>
    <row r="10" ht="14.25" customHeight="1" spans="1:30">
      <c r="A10" s="4">
        <v>6</v>
      </c>
      <c r="B10" s="10" t="s">
        <v>4</v>
      </c>
      <c r="C10" s="4" t="s">
        <v>38</v>
      </c>
      <c r="D10" s="11" t="s">
        <v>12</v>
      </c>
      <c r="E10" s="10">
        <v>1</v>
      </c>
      <c r="F10" s="39" t="s">
        <v>39</v>
      </c>
      <c r="G10" s="11">
        <v>2</v>
      </c>
      <c r="H10" s="9">
        <f t="shared" si="0"/>
        <v>0</v>
      </c>
      <c r="I10" s="9">
        <f t="shared" si="1"/>
        <v>3</v>
      </c>
      <c r="K10" s="4">
        <v>6</v>
      </c>
      <c r="L10" s="26" t="s">
        <v>22</v>
      </c>
      <c r="M10" s="27" t="str">
        <f>+IFERROR(VLOOKUP(L10,Registro!$B$3:$C$26,2,0),"")</f>
        <v>Rojo</v>
      </c>
      <c r="N10" s="26">
        <v>3</v>
      </c>
      <c r="O10" s="26">
        <v>2</v>
      </c>
      <c r="AD10" s="12">
        <v>7</v>
      </c>
    </row>
    <row r="11" ht="14.25" customHeight="1" spans="1:30">
      <c r="A11" s="4">
        <v>7</v>
      </c>
      <c r="B11" s="10" t="s">
        <v>20</v>
      </c>
      <c r="C11" s="4" t="s">
        <v>38</v>
      </c>
      <c r="D11" s="11" t="s">
        <v>12</v>
      </c>
      <c r="E11" s="10">
        <v>2</v>
      </c>
      <c r="F11" s="39" t="s">
        <v>39</v>
      </c>
      <c r="G11" s="11">
        <v>1</v>
      </c>
      <c r="H11" s="9">
        <f t="shared" si="0"/>
        <v>3</v>
      </c>
      <c r="I11" s="9">
        <f t="shared" si="1"/>
        <v>0</v>
      </c>
      <c r="K11" s="4">
        <v>7</v>
      </c>
      <c r="L11" s="26" t="s">
        <v>21</v>
      </c>
      <c r="M11" s="27" t="str">
        <f>+IFERROR(VLOOKUP(L11,Registro!$B$3:$C$26,2,0),"")</f>
        <v>Rojo</v>
      </c>
      <c r="N11" s="26">
        <v>2</v>
      </c>
      <c r="O11" s="26">
        <v>1</v>
      </c>
      <c r="AD11" s="12">
        <v>8</v>
      </c>
    </row>
    <row r="12" ht="14.25" customHeight="1" spans="1:30">
      <c r="A12" s="4">
        <v>8</v>
      </c>
      <c r="B12" s="10" t="s">
        <v>20</v>
      </c>
      <c r="C12" s="4" t="s">
        <v>38</v>
      </c>
      <c r="D12" s="11" t="s">
        <v>4</v>
      </c>
      <c r="E12" s="10">
        <v>1</v>
      </c>
      <c r="F12" s="39" t="s">
        <v>39</v>
      </c>
      <c r="G12" s="11">
        <v>0</v>
      </c>
      <c r="H12" s="9">
        <f t="shared" si="0"/>
        <v>3</v>
      </c>
      <c r="I12" s="9">
        <f t="shared" si="1"/>
        <v>0</v>
      </c>
      <c r="K12" s="4">
        <v>8</v>
      </c>
      <c r="L12" s="26" t="s">
        <v>15</v>
      </c>
      <c r="M12" s="27" t="str">
        <f>+IFERROR(VLOOKUP(L12,Registro!$B$3:$C$26,2,0),"")</f>
        <v>Amarillo</v>
      </c>
      <c r="N12" s="26">
        <v>1</v>
      </c>
      <c r="O12" s="27"/>
      <c r="AD12" s="12">
        <v>9</v>
      </c>
    </row>
    <row r="13" ht="14.25" customHeight="1" spans="1:15">
      <c r="A13" s="4">
        <v>9</v>
      </c>
      <c r="B13" s="10" t="s">
        <v>20</v>
      </c>
      <c r="C13" s="4" t="s">
        <v>38</v>
      </c>
      <c r="D13" s="11" t="s">
        <v>12</v>
      </c>
      <c r="E13" s="10">
        <v>2</v>
      </c>
      <c r="F13" s="39" t="s">
        <v>39</v>
      </c>
      <c r="G13" s="11">
        <v>1</v>
      </c>
      <c r="H13" s="9">
        <f t="shared" si="0"/>
        <v>3</v>
      </c>
      <c r="I13" s="9">
        <f t="shared" si="1"/>
        <v>0</v>
      </c>
      <c r="K13" s="4">
        <v>9</v>
      </c>
      <c r="L13" s="26" t="s">
        <v>18</v>
      </c>
      <c r="M13" s="27" t="str">
        <f>+IFERROR(VLOOKUP(L13,Registro!$B$3:$C$26,2,0),"")</f>
        <v>Amarillo</v>
      </c>
      <c r="N13" s="26">
        <v>1</v>
      </c>
      <c r="O13" s="26">
        <v>2</v>
      </c>
    </row>
    <row r="14" ht="14.25" customHeight="1" spans="1:15">
      <c r="A14" s="4">
        <v>10</v>
      </c>
      <c r="B14" s="10" t="s">
        <v>4</v>
      </c>
      <c r="C14" s="4" t="s">
        <v>38</v>
      </c>
      <c r="D14" s="11" t="s">
        <v>12</v>
      </c>
      <c r="E14" s="10">
        <v>2</v>
      </c>
      <c r="F14" s="39" t="s">
        <v>39</v>
      </c>
      <c r="G14" s="11">
        <v>1</v>
      </c>
      <c r="H14" s="9">
        <f t="shared" si="0"/>
        <v>3</v>
      </c>
      <c r="I14" s="9">
        <f t="shared" si="1"/>
        <v>0</v>
      </c>
      <c r="K14" s="4">
        <v>10</v>
      </c>
      <c r="L14" s="26" t="s">
        <v>3</v>
      </c>
      <c r="M14" s="27" t="str">
        <f>+IFERROR(VLOOKUP(L14,Registro!$B$3:$C$26,2,0),"")</f>
        <v>Azul</v>
      </c>
      <c r="N14" s="26">
        <v>2</v>
      </c>
      <c r="O14" s="26">
        <v>1</v>
      </c>
    </row>
    <row r="15" ht="14.25" customHeight="1" spans="1:15">
      <c r="A15" s="4">
        <v>11</v>
      </c>
      <c r="B15" s="10" t="s">
        <v>20</v>
      </c>
      <c r="C15" s="4" t="s">
        <v>38</v>
      </c>
      <c r="D15" s="11" t="s">
        <v>4</v>
      </c>
      <c r="E15" s="10">
        <v>2</v>
      </c>
      <c r="F15" s="39" t="s">
        <v>39</v>
      </c>
      <c r="G15" s="11">
        <v>0</v>
      </c>
      <c r="H15" s="9">
        <f t="shared" si="0"/>
        <v>3</v>
      </c>
      <c r="I15" s="9">
        <f t="shared" si="1"/>
        <v>0</v>
      </c>
      <c r="K15" s="4">
        <v>11</v>
      </c>
      <c r="L15" s="26" t="s">
        <v>29</v>
      </c>
      <c r="M15" s="27" t="str">
        <f>+IFERROR(VLOOKUP(L15,Registro!$B$3:$C$26,2,0),"")</f>
        <v>Amarillo</v>
      </c>
      <c r="N15" s="26">
        <v>1</v>
      </c>
      <c r="O15" s="27"/>
    </row>
    <row r="16" ht="14.25" customHeight="1" spans="1:15">
      <c r="A16" s="4">
        <v>12</v>
      </c>
      <c r="B16" s="10" t="s">
        <v>20</v>
      </c>
      <c r="C16" s="4" t="s">
        <v>38</v>
      </c>
      <c r="D16" s="11" t="s">
        <v>12</v>
      </c>
      <c r="E16" s="10">
        <v>2</v>
      </c>
      <c r="F16" s="39" t="s">
        <v>39</v>
      </c>
      <c r="G16" s="11">
        <v>1</v>
      </c>
      <c r="H16" s="9">
        <f t="shared" si="0"/>
        <v>3</v>
      </c>
      <c r="I16" s="9">
        <f t="shared" si="1"/>
        <v>0</v>
      </c>
      <c r="K16" s="4">
        <v>12</v>
      </c>
      <c r="L16" s="26" t="s">
        <v>25</v>
      </c>
      <c r="M16" s="27" t="str">
        <f>+IFERROR(VLOOKUP(L16,Registro!$B$3:$C$26,2,0),"")</f>
        <v>Rojo</v>
      </c>
      <c r="N16" s="27"/>
      <c r="O16" s="26">
        <v>4</v>
      </c>
    </row>
    <row r="17" ht="14.25" customHeight="1" spans="1:15">
      <c r="A17" s="4">
        <v>13</v>
      </c>
      <c r="B17" s="10"/>
      <c r="C17" s="4" t="s">
        <v>38</v>
      </c>
      <c r="D17" s="11"/>
      <c r="E17" s="10"/>
      <c r="F17" s="39" t="s">
        <v>39</v>
      </c>
      <c r="G17" s="11"/>
      <c r="H17" s="9" t="str">
        <f t="shared" si="0"/>
        <v/>
      </c>
      <c r="I17" s="9" t="str">
        <f t="shared" si="1"/>
        <v/>
      </c>
      <c r="K17" s="4">
        <v>13</v>
      </c>
      <c r="L17" s="26" t="s">
        <v>23</v>
      </c>
      <c r="M17" s="27" t="str">
        <f>+IFERROR(VLOOKUP(L17,Registro!$B$3:$C$26,2,0),"")</f>
        <v>Rojo</v>
      </c>
      <c r="N17" s="26">
        <v>1</v>
      </c>
      <c r="O17" s="26">
        <v>2</v>
      </c>
    </row>
    <row r="18" ht="14.25" customHeight="1" spans="1:15">
      <c r="A18" s="4">
        <v>14</v>
      </c>
      <c r="B18" s="10"/>
      <c r="C18" s="4" t="s">
        <v>38</v>
      </c>
      <c r="D18" s="11"/>
      <c r="E18" s="10"/>
      <c r="F18" s="39" t="s">
        <v>39</v>
      </c>
      <c r="G18" s="11"/>
      <c r="H18" s="9" t="str">
        <f t="shared" si="0"/>
        <v/>
      </c>
      <c r="I18" s="9" t="str">
        <f t="shared" si="1"/>
        <v/>
      </c>
      <c r="K18" s="4">
        <v>14</v>
      </c>
      <c r="L18" s="26" t="s">
        <v>5</v>
      </c>
      <c r="M18" s="27" t="str">
        <f>+IFERROR(VLOOKUP(L18,Registro!$B$3:$C$26,2,0),"")</f>
        <v>Azul</v>
      </c>
      <c r="N18" s="26">
        <v>1</v>
      </c>
      <c r="O18" s="27"/>
    </row>
    <row r="19" ht="14.25" customHeight="1" spans="1:15">
      <c r="A19" s="4">
        <v>15</v>
      </c>
      <c r="B19" s="10"/>
      <c r="C19" s="4" t="s">
        <v>38</v>
      </c>
      <c r="D19" s="11"/>
      <c r="E19" s="10"/>
      <c r="F19" s="39" t="s">
        <v>39</v>
      </c>
      <c r="G19" s="11"/>
      <c r="H19" s="9" t="str">
        <f t="shared" si="0"/>
        <v/>
      </c>
      <c r="I19" s="9" t="str">
        <f t="shared" si="1"/>
        <v/>
      </c>
      <c r="K19" s="4">
        <v>15</v>
      </c>
      <c r="L19" s="27"/>
      <c r="M19" s="27" t="str">
        <f>+IFERROR(VLOOKUP(L19,Registro!$B$3:$C$26,2,0),"")</f>
        <v/>
      </c>
      <c r="N19" s="27"/>
      <c r="O19" s="27"/>
    </row>
    <row r="20" ht="14.25" customHeight="1" spans="1:15">
      <c r="A20" s="4">
        <v>16</v>
      </c>
      <c r="B20" s="10"/>
      <c r="C20" s="4" t="s">
        <v>38</v>
      </c>
      <c r="D20" s="11"/>
      <c r="E20" s="10"/>
      <c r="F20" s="39" t="s">
        <v>39</v>
      </c>
      <c r="G20" s="11"/>
      <c r="H20" s="9" t="str">
        <f t="shared" si="0"/>
        <v/>
      </c>
      <c r="I20" s="9" t="str">
        <f t="shared" si="1"/>
        <v/>
      </c>
      <c r="K20" s="4">
        <v>16</v>
      </c>
      <c r="L20" s="27"/>
      <c r="M20" s="27" t="str">
        <f>+IFERROR(VLOOKUP(L20,Registro!$B$3:$C$26,2,0),"")</f>
        <v/>
      </c>
      <c r="N20" s="27"/>
      <c r="O20" s="27"/>
    </row>
    <row r="21" ht="14.25" customHeight="1" spans="1:15">
      <c r="A21" s="4">
        <v>17</v>
      </c>
      <c r="B21" s="10"/>
      <c r="C21" s="4" t="s">
        <v>38</v>
      </c>
      <c r="D21" s="11"/>
      <c r="E21" s="10"/>
      <c r="F21" s="39" t="s">
        <v>39</v>
      </c>
      <c r="G21" s="11"/>
      <c r="H21" s="9" t="str">
        <f t="shared" si="0"/>
        <v/>
      </c>
      <c r="I21" s="9" t="str">
        <f t="shared" si="1"/>
        <v/>
      </c>
      <c r="K21" s="4">
        <v>17</v>
      </c>
      <c r="L21" s="27"/>
      <c r="M21" s="27" t="str">
        <f>+IFERROR(VLOOKUP(L21,Registro!$B$3:$C$26,2,0),"")</f>
        <v/>
      </c>
      <c r="N21" s="27"/>
      <c r="O21" s="27"/>
    </row>
    <row r="22" ht="14.25" customHeight="1" spans="1:15">
      <c r="A22" s="4">
        <v>18</v>
      </c>
      <c r="B22" s="10"/>
      <c r="C22" s="4" t="s">
        <v>38</v>
      </c>
      <c r="D22" s="11"/>
      <c r="E22" s="10"/>
      <c r="F22" s="39" t="s">
        <v>39</v>
      </c>
      <c r="G22" s="11"/>
      <c r="H22" s="9" t="str">
        <f t="shared" si="0"/>
        <v/>
      </c>
      <c r="I22" s="9" t="str">
        <f t="shared" si="1"/>
        <v/>
      </c>
      <c r="K22" s="4">
        <v>18</v>
      </c>
      <c r="L22" s="27"/>
      <c r="M22" s="27" t="str">
        <f>+IFERROR(VLOOKUP(L22,Registro!$B$3:$C$26,2,0),"")</f>
        <v/>
      </c>
      <c r="N22" s="27"/>
      <c r="O22" s="27"/>
    </row>
    <row r="23" ht="14.25" customHeight="1" spans="1:15">
      <c r="A23" s="4">
        <v>19</v>
      </c>
      <c r="B23" s="10"/>
      <c r="C23" s="4" t="s">
        <v>38</v>
      </c>
      <c r="D23" s="11"/>
      <c r="E23" s="10"/>
      <c r="F23" s="39" t="s">
        <v>39</v>
      </c>
      <c r="G23" s="11"/>
      <c r="H23" s="9" t="str">
        <f t="shared" si="0"/>
        <v/>
      </c>
      <c r="I23" s="9" t="str">
        <f t="shared" si="1"/>
        <v/>
      </c>
      <c r="K23" s="4">
        <v>19</v>
      </c>
      <c r="L23" s="27"/>
      <c r="M23" s="27" t="str">
        <f>+IFERROR(VLOOKUP(L23,Registro!$B$3:$C$26,2,0),"")</f>
        <v/>
      </c>
      <c r="N23" s="27"/>
      <c r="O23" s="27"/>
    </row>
    <row r="24" ht="14.25" customHeight="1" spans="1:15">
      <c r="A24" s="4">
        <v>20</v>
      </c>
      <c r="B24" s="10"/>
      <c r="C24" s="4" t="s">
        <v>38</v>
      </c>
      <c r="D24" s="11"/>
      <c r="E24" s="10"/>
      <c r="F24" s="39" t="s">
        <v>39</v>
      </c>
      <c r="G24" s="11"/>
      <c r="H24" s="9" t="str">
        <f t="shared" si="0"/>
        <v/>
      </c>
      <c r="I24" s="9" t="str">
        <f t="shared" si="1"/>
        <v/>
      </c>
      <c r="K24" s="4">
        <v>20</v>
      </c>
      <c r="L24" s="27"/>
      <c r="M24" s="27" t="str">
        <f>+IFERROR(VLOOKUP(L24,Registro!$B$3:$C$26,2,0),"")</f>
        <v/>
      </c>
      <c r="N24" s="27"/>
      <c r="O24" s="27"/>
    </row>
    <row r="25" ht="14.25" customHeight="1" spans="1:15">
      <c r="A25" s="4">
        <v>21</v>
      </c>
      <c r="B25" s="13"/>
      <c r="C25" s="14" t="s">
        <v>38</v>
      </c>
      <c r="D25" s="15"/>
      <c r="E25" s="13"/>
      <c r="F25" s="40" t="s">
        <v>39</v>
      </c>
      <c r="G25" s="15"/>
      <c r="K25" s="4">
        <v>21</v>
      </c>
      <c r="L25" s="28"/>
      <c r="M25" s="28" t="str">
        <f>+IFERROR(VLOOKUP(L25,Registro!$B$3:$C$26,2,0),"")</f>
        <v/>
      </c>
      <c r="N25" s="28"/>
      <c r="O25" s="28"/>
    </row>
    <row r="26" ht="14.25" customHeight="1"/>
    <row r="27" ht="14.25" customHeight="1" spans="12:15">
      <c r="L27" s="29" t="s">
        <v>40</v>
      </c>
      <c r="M27" s="30" t="s">
        <v>41</v>
      </c>
      <c r="N27" s="31"/>
      <c r="O27" s="18"/>
    </row>
    <row r="28" ht="14.25" customHeight="1" spans="13:15">
      <c r="M28" s="32"/>
      <c r="O28" s="17"/>
    </row>
    <row r="29" ht="14.25" customHeight="1" spans="13:15">
      <c r="M29" s="32"/>
      <c r="O29" s="17"/>
    </row>
    <row r="30" ht="14.25" customHeight="1" spans="6:15">
      <c r="F30" s="1" t="s">
        <v>31</v>
      </c>
      <c r="G30" s="2"/>
      <c r="H30" s="2"/>
      <c r="I30" s="2"/>
      <c r="J30" s="3"/>
      <c r="K30" s="12"/>
      <c r="M30" s="32"/>
      <c r="O30" s="17"/>
    </row>
    <row r="31" ht="14.25" customHeight="1" spans="3:15">
      <c r="C31" s="1" t="s">
        <v>2</v>
      </c>
      <c r="D31" s="2"/>
      <c r="E31" s="3"/>
      <c r="F31" s="1" t="s">
        <v>42</v>
      </c>
      <c r="G31" s="3"/>
      <c r="H31" s="1" t="s">
        <v>43</v>
      </c>
      <c r="I31" s="3"/>
      <c r="J31" s="23" t="s">
        <v>44</v>
      </c>
      <c r="K31" s="23" t="s">
        <v>45</v>
      </c>
      <c r="M31" s="32"/>
      <c r="O31" s="17"/>
    </row>
    <row r="32" ht="14.25" customHeight="1" spans="3:15">
      <c r="C32" s="10" t="s">
        <v>4</v>
      </c>
      <c r="E32" s="17"/>
      <c r="F32" s="5">
        <f t="shared" ref="F32:F34" si="2">+SUMIF($B$5:$B$25,C32,$E$5:$E$25)+SUMIF($D$5:$D$25,C32,$G$5:$G$25)</f>
        <v>3</v>
      </c>
      <c r="G32" s="18"/>
      <c r="H32" s="5">
        <f t="shared" ref="H32:H34" si="3">+SUMIF($B$5:$B$25,C32,$G$5:$G$25)+SUMIF($D$5:$D$25,C32,$E$5:$E$25)</f>
        <v>8</v>
      </c>
      <c r="I32" s="18"/>
      <c r="J32" s="33">
        <f t="shared" ref="J32:J35" si="4">+F32-H32</f>
        <v>-5</v>
      </c>
      <c r="K32" s="33">
        <f t="shared" ref="K32:K34" si="5">+SUMIF($B$5:$B$25,C32,$H$5:$H$25)+SUMIF($D$5:$D$25,C32,$I$5:$I$25)</f>
        <v>3</v>
      </c>
      <c r="M32" s="34"/>
      <c r="N32" s="19"/>
      <c r="O32" s="20"/>
    </row>
    <row r="33" ht="14.25" customHeight="1" spans="3:11">
      <c r="C33" s="10" t="s">
        <v>20</v>
      </c>
      <c r="E33" s="17"/>
      <c r="F33" s="10">
        <f t="shared" si="2"/>
        <v>12</v>
      </c>
      <c r="G33" s="17"/>
      <c r="H33" s="10">
        <f t="shared" si="3"/>
        <v>7</v>
      </c>
      <c r="I33" s="17"/>
      <c r="J33" s="35">
        <f t="shared" si="4"/>
        <v>5</v>
      </c>
      <c r="K33" s="35">
        <f t="shared" si="5"/>
        <v>21</v>
      </c>
    </row>
    <row r="34" ht="14.25" customHeight="1" spans="3:11">
      <c r="C34" s="13" t="s">
        <v>12</v>
      </c>
      <c r="D34" s="19"/>
      <c r="E34" s="20"/>
      <c r="F34" s="13">
        <f t="shared" si="2"/>
        <v>11</v>
      </c>
      <c r="G34" s="20"/>
      <c r="H34" s="13">
        <f t="shared" si="3"/>
        <v>11</v>
      </c>
      <c r="I34" s="20"/>
      <c r="J34" s="36">
        <f t="shared" si="4"/>
        <v>0</v>
      </c>
      <c r="K34" s="36">
        <f t="shared" si="5"/>
        <v>12</v>
      </c>
    </row>
    <row r="35" ht="14.25" customHeight="1" spans="6:10">
      <c r="F35" s="21">
        <f>+SUM(F32:G34)</f>
        <v>26</v>
      </c>
      <c r="H35" s="21">
        <f>+SUM(H32:I34)</f>
        <v>26</v>
      </c>
      <c r="J35" s="21">
        <f t="shared" si="4"/>
        <v>0</v>
      </c>
    </row>
    <row r="36" ht="14.25" customHeight="1" spans="6:6">
      <c r="F36" s="21"/>
    </row>
    <row r="37" ht="14.25" customHeight="1" spans="3:10">
      <c r="C37" s="22" t="s">
        <v>46</v>
      </c>
      <c r="D37" s="19"/>
      <c r="E37" s="19"/>
      <c r="F37" s="19"/>
      <c r="G37" s="19"/>
      <c r="H37" s="19"/>
      <c r="I37" s="19"/>
      <c r="J37" s="19"/>
    </row>
    <row r="38" ht="14.25" customHeight="1" spans="3:10">
      <c r="C38" s="1" t="s">
        <v>47</v>
      </c>
      <c r="D38" s="2"/>
      <c r="E38" s="3"/>
      <c r="F38" s="1" t="s">
        <v>48</v>
      </c>
      <c r="G38" s="3"/>
      <c r="H38" s="1" t="s">
        <v>49</v>
      </c>
      <c r="I38" s="3"/>
      <c r="J38" s="23" t="s">
        <v>44</v>
      </c>
    </row>
    <row r="39" ht="14.25" customHeight="1" spans="3:10">
      <c r="C39" s="10" t="s">
        <v>4</v>
      </c>
      <c r="E39" s="17"/>
      <c r="F39" s="5">
        <f t="shared" ref="F39:F41" si="6">+F32</f>
        <v>3</v>
      </c>
      <c r="G39" s="18"/>
      <c r="H39" s="5">
        <f t="shared" ref="H39:H41" si="7">+SUMIF($M$5:$M$25,C39,$N$5:$N$25)</f>
        <v>3</v>
      </c>
      <c r="I39" s="18"/>
      <c r="J39" s="33">
        <f t="shared" ref="J39:J41" si="8">+F39-H39</f>
        <v>0</v>
      </c>
    </row>
    <row r="40" ht="14.25" customHeight="1" spans="3:10">
      <c r="C40" s="10" t="s">
        <v>20</v>
      </c>
      <c r="E40" s="17"/>
      <c r="F40" s="10">
        <f t="shared" si="6"/>
        <v>12</v>
      </c>
      <c r="G40" s="17"/>
      <c r="H40" s="10">
        <f t="shared" si="7"/>
        <v>12</v>
      </c>
      <c r="I40" s="17"/>
      <c r="J40" s="35">
        <f t="shared" si="8"/>
        <v>0</v>
      </c>
    </row>
    <row r="41" ht="14.25" customHeight="1" spans="3:10">
      <c r="C41" s="13" t="s">
        <v>12</v>
      </c>
      <c r="D41" s="19"/>
      <c r="E41" s="20"/>
      <c r="F41" s="13">
        <f t="shared" si="6"/>
        <v>11</v>
      </c>
      <c r="G41" s="20"/>
      <c r="H41" s="13">
        <f t="shared" si="7"/>
        <v>11</v>
      </c>
      <c r="I41" s="20"/>
      <c r="J41" s="36">
        <f t="shared" si="8"/>
        <v>0</v>
      </c>
    </row>
    <row r="42" ht="14.25" customHeight="1"/>
    <row r="43" ht="14.25" hidden="1" customHeight="1"/>
    <row r="44" ht="14.25" hidden="1" customHeight="1"/>
    <row r="45" ht="14.25" hidden="1" customHeight="1"/>
    <row r="46" ht="14.25" hidden="1" customHeight="1"/>
    <row r="47" ht="14.25" hidden="1" customHeight="1"/>
    <row r="48" ht="14.25" hidden="1" customHeight="1"/>
    <row r="49" ht="14.25" hidden="1" customHeight="1"/>
    <row r="50" ht="14.25" hidden="1" customHeight="1"/>
    <row r="51" ht="14.25" hidden="1" customHeight="1"/>
    <row r="52" ht="14.25" hidden="1" customHeight="1"/>
    <row r="53" ht="14.25" hidden="1" customHeight="1"/>
    <row r="54" ht="14.25" hidden="1" customHeight="1"/>
    <row r="55" ht="14.25" hidden="1" customHeight="1"/>
    <row r="56" ht="14.25" hidden="1" customHeight="1"/>
    <row r="57" ht="14.25" hidden="1" customHeight="1"/>
    <row r="58" ht="14.25" hidden="1" customHeight="1"/>
    <row r="59" ht="14.25" hidden="1" customHeight="1"/>
    <row r="60" ht="14.25" hidden="1" customHeight="1"/>
    <row r="61" ht="14.25" hidden="1" customHeight="1"/>
    <row r="62" ht="14.25" hidden="1" customHeight="1"/>
    <row r="63" ht="14.25" hidden="1" customHeight="1"/>
    <row r="64" ht="14.25" hidden="1" customHeight="1"/>
    <row r="65" ht="14.25" hidden="1" customHeight="1"/>
    <row r="66" ht="14.25" hidden="1" customHeight="1"/>
    <row r="67" ht="14.25" hidden="1" customHeight="1"/>
    <row r="68" ht="14.25" hidden="1" customHeight="1"/>
    <row r="69" ht="14.25" hidden="1" customHeight="1"/>
    <row r="70" ht="14.25" hidden="1" customHeight="1"/>
    <row r="71" ht="14.25" hidden="1" customHeight="1"/>
    <row r="72" ht="14.25" hidden="1" customHeight="1"/>
    <row r="73" ht="14.25" hidden="1" customHeight="1"/>
    <row r="74" ht="14.25" hidden="1" customHeight="1"/>
    <row r="75" ht="14.25" hidden="1" customHeight="1"/>
    <row r="76" ht="14.25" hidden="1" customHeight="1"/>
    <row r="77" ht="14.25" hidden="1" customHeight="1"/>
    <row r="78" ht="14.25" hidden="1" customHeight="1"/>
    <row r="79" ht="14.25" hidden="1" customHeight="1"/>
    <row r="80" ht="14.25" hidden="1" customHeight="1"/>
    <row r="81" ht="14.25" hidden="1" customHeight="1"/>
    <row r="82" ht="14.25" hidden="1" customHeight="1"/>
    <row r="83" ht="14.25" hidden="1" customHeight="1"/>
    <row r="84" ht="14.25" hidden="1" customHeight="1"/>
    <row r="85" ht="14.25" hidden="1" customHeight="1"/>
    <row r="86" ht="14.25" hidden="1" customHeight="1"/>
    <row r="87" ht="14.25" hidden="1" customHeight="1"/>
    <row r="88" ht="14.25" hidden="1" customHeight="1"/>
    <row r="89" ht="14.25" hidden="1" customHeight="1"/>
    <row r="90" ht="14.25" hidden="1" customHeight="1"/>
    <row r="91" ht="14.25" hidden="1" customHeight="1"/>
    <row r="92" ht="14.25" hidden="1" customHeight="1"/>
    <row r="93" ht="14.25" hidden="1" customHeight="1"/>
    <row r="94" ht="14.25" hidden="1" customHeight="1"/>
    <row r="95" ht="14.25" hidden="1" customHeight="1"/>
    <row r="96" ht="14.25" hidden="1" customHeight="1"/>
    <row r="97" ht="14.25" hidden="1" customHeight="1"/>
    <row r="98" ht="14.25" hidden="1" customHeight="1"/>
    <row r="99" ht="14.25" hidden="1" customHeight="1"/>
    <row r="100" ht="14.25" hidden="1" customHeight="1"/>
    <row r="101" ht="14.25" hidden="1" customHeight="1"/>
    <row r="102" ht="14.25" hidden="1" customHeight="1"/>
    <row r="103" ht="14.25" hidden="1" customHeight="1"/>
    <row r="104" ht="14.25" hidden="1" customHeight="1"/>
    <row r="105" ht="14.25" hidden="1" customHeight="1"/>
    <row r="106" ht="14.25" hidden="1" customHeight="1"/>
    <row r="107" ht="14.25" hidden="1" customHeight="1"/>
    <row r="108" ht="14.25" hidden="1" customHeight="1"/>
    <row r="109" ht="14.25" hidden="1" customHeight="1"/>
    <row r="110" ht="14.25" hidden="1" customHeight="1"/>
    <row r="111" ht="14.25" hidden="1" customHeight="1"/>
    <row r="112" ht="14.25" hidden="1" customHeight="1"/>
    <row r="113" ht="14.25" hidden="1" customHeight="1"/>
    <row r="114" ht="14.25" hidden="1" customHeight="1"/>
    <row r="115" ht="14.25" hidden="1" customHeight="1"/>
    <row r="116" ht="14.25" hidden="1" customHeight="1"/>
    <row r="117" ht="14.25" hidden="1" customHeight="1"/>
    <row r="118" ht="14.25" hidden="1" customHeight="1"/>
    <row r="119" ht="14.25" hidden="1" customHeight="1"/>
    <row r="120" ht="14.25" hidden="1" customHeight="1"/>
    <row r="121" ht="14.25" hidden="1" customHeight="1"/>
    <row r="122" ht="14.25" hidden="1" customHeight="1"/>
    <row r="123" ht="14.25" hidden="1" customHeight="1"/>
    <row r="124" ht="14.25" hidden="1" customHeight="1"/>
    <row r="125" ht="14.25" hidden="1" customHeight="1"/>
    <row r="126" ht="14.25" hidden="1" customHeight="1"/>
    <row r="127" ht="14.25" hidden="1" customHeight="1"/>
    <row r="128" ht="14.25" hidden="1" customHeight="1"/>
    <row r="129" ht="14.25" hidden="1" customHeight="1"/>
    <row r="130" ht="14.25" hidden="1" customHeight="1"/>
    <row r="131" ht="14.25" hidden="1" customHeight="1"/>
    <row r="132" ht="14.25" hidden="1" customHeight="1"/>
    <row r="133" ht="14.25" hidden="1" customHeight="1"/>
    <row r="134" ht="14.25" hidden="1" customHeight="1"/>
    <row r="135" ht="14.25" hidden="1" customHeight="1"/>
    <row r="136" ht="14.25" hidden="1" customHeight="1"/>
    <row r="137" ht="14.25" hidden="1" customHeight="1"/>
    <row r="138" ht="14.25" hidden="1" customHeight="1"/>
    <row r="139" ht="14.25" hidden="1" customHeight="1"/>
    <row r="140" ht="14.25" hidden="1" customHeight="1"/>
    <row r="141" ht="14.25" hidden="1" customHeight="1"/>
    <row r="142" ht="14.25" hidden="1" customHeight="1"/>
    <row r="143" ht="14.25" hidden="1" customHeight="1"/>
    <row r="144" ht="14.25" hidden="1" customHeight="1"/>
    <row r="145" ht="14.25" hidden="1" customHeight="1"/>
    <row r="146" ht="14.25" hidden="1" customHeight="1"/>
    <row r="147" ht="14.25" hidden="1" customHeight="1"/>
    <row r="148" ht="14.25" hidden="1" customHeight="1"/>
    <row r="149" ht="14.25" hidden="1" customHeight="1"/>
    <row r="150" ht="14.25" hidden="1" customHeight="1"/>
    <row r="151" ht="14.25" hidden="1" customHeight="1"/>
    <row r="152" ht="14.25" hidden="1" customHeight="1"/>
    <row r="153" ht="14.25" hidden="1" customHeight="1"/>
    <row r="154" ht="14.25" hidden="1" customHeight="1"/>
    <row r="155" ht="14.25" hidden="1" customHeight="1"/>
    <row r="156" ht="14.25" hidden="1" customHeight="1"/>
    <row r="157" ht="14.25" hidden="1" customHeight="1"/>
    <row r="158" ht="14.25" hidden="1" customHeight="1"/>
    <row r="159" ht="14.25" hidden="1" customHeight="1"/>
    <row r="160" ht="14.25" hidden="1" customHeight="1"/>
    <row r="161" ht="14.25" hidden="1" customHeight="1"/>
    <row r="162" ht="14.25" hidden="1" customHeight="1"/>
    <row r="163" ht="14.25" hidden="1" customHeight="1"/>
    <row r="164" ht="14.25" hidden="1" customHeight="1"/>
    <row r="165" ht="14.25" hidden="1" customHeight="1"/>
    <row r="166" ht="14.25" hidden="1" customHeight="1"/>
    <row r="167" ht="14.25" hidden="1" customHeight="1"/>
    <row r="168" ht="14.25" hidden="1" customHeight="1"/>
    <row r="169" ht="14.25" hidden="1" customHeight="1"/>
    <row r="170" ht="14.25" hidden="1" customHeight="1"/>
    <row r="171" ht="14.25" hidden="1" customHeight="1"/>
    <row r="172" ht="14.25" hidden="1" customHeight="1"/>
    <row r="173" ht="14.25" hidden="1" customHeight="1"/>
    <row r="174" ht="14.25" hidden="1" customHeight="1"/>
    <row r="175" ht="14.25" hidden="1" customHeight="1"/>
    <row r="176" ht="14.25" hidden="1" customHeight="1"/>
    <row r="177" ht="14.25" hidden="1" customHeight="1"/>
    <row r="178" ht="14.25" hidden="1" customHeight="1"/>
    <row r="179" ht="14.25" hidden="1" customHeight="1"/>
    <row r="180" ht="14.25" hidden="1" customHeight="1"/>
    <row r="181" ht="14.25" hidden="1" customHeight="1"/>
    <row r="182" ht="14.25" hidden="1" customHeight="1"/>
    <row r="183" ht="14.25" hidden="1" customHeight="1"/>
    <row r="184" ht="14.25" hidden="1" customHeight="1"/>
    <row r="185" ht="14.25" hidden="1" customHeight="1"/>
    <row r="186" ht="14.25" hidden="1" customHeight="1"/>
    <row r="187" ht="14.25" hidden="1" customHeight="1"/>
    <row r="188" ht="14.25" hidden="1" customHeight="1"/>
    <row r="189" ht="14.25" hidden="1" customHeight="1"/>
    <row r="190" ht="14.25" hidden="1" customHeight="1"/>
    <row r="191" ht="14.25" hidden="1" customHeight="1"/>
    <row r="192" ht="14.25" hidden="1" customHeight="1"/>
    <row r="193" ht="14.25" hidden="1" customHeight="1"/>
    <row r="194" ht="14.25" hidden="1" customHeight="1"/>
    <row r="195" ht="14.25" hidden="1" customHeight="1"/>
    <row r="196" ht="14.25" hidden="1" customHeight="1"/>
    <row r="197" ht="14.25" hidden="1" customHeight="1"/>
    <row r="198" ht="14.25" hidden="1" customHeight="1"/>
    <row r="199" ht="14.25" hidden="1" customHeight="1"/>
    <row r="200" ht="14.25" hidden="1" customHeight="1"/>
    <row r="201" ht="14.25" hidden="1" customHeight="1"/>
    <row r="202" ht="14.25" hidden="1" customHeight="1"/>
    <row r="203" ht="14.25" hidden="1" customHeight="1"/>
    <row r="204" ht="14.25" hidden="1" customHeight="1"/>
    <row r="205" ht="14.25" hidden="1" customHeight="1"/>
    <row r="206" ht="14.25" hidden="1" customHeight="1"/>
    <row r="207" ht="14.25" hidden="1" customHeight="1"/>
    <row r="208" ht="14.25" hidden="1" customHeight="1"/>
    <row r="209" ht="14.25" hidden="1" customHeight="1"/>
    <row r="210" ht="14.25" hidden="1" customHeight="1"/>
    <row r="211" ht="14.25" hidden="1" customHeight="1"/>
    <row r="212" ht="14.25" hidden="1" customHeight="1"/>
    <row r="213" ht="14.25" hidden="1" customHeight="1"/>
    <row r="214" ht="14.25" hidden="1" customHeight="1"/>
    <row r="215" ht="14.25" hidden="1" customHeight="1"/>
    <row r="216" ht="14.25" hidden="1" customHeight="1"/>
    <row r="217" ht="14.25" hidden="1" customHeight="1"/>
    <row r="218" ht="14.25" hidden="1" customHeight="1"/>
    <row r="219" ht="14.25" hidden="1" customHeight="1"/>
    <row r="220" ht="14.25" hidden="1" customHeight="1"/>
    <row r="221" ht="14.25" hidden="1" customHeight="1"/>
    <row r="222" ht="14.25" hidden="1" customHeight="1"/>
    <row r="223" ht="14.25" hidden="1" customHeight="1"/>
    <row r="224" ht="14.25" hidden="1" customHeight="1"/>
    <row r="225" ht="14.25" hidden="1" customHeight="1"/>
    <row r="226" ht="14.25" hidden="1" customHeight="1"/>
    <row r="227" ht="14.25" hidden="1" customHeight="1"/>
    <row r="228" ht="14.25" hidden="1" customHeight="1"/>
    <row r="229" ht="14.25" hidden="1" customHeight="1"/>
    <row r="230" ht="14.25" hidden="1" customHeight="1"/>
    <row r="231" ht="14.25" hidden="1" customHeight="1"/>
    <row r="232" ht="14.25" hidden="1" customHeight="1"/>
    <row r="233" ht="14.25" hidden="1" customHeight="1"/>
    <row r="234" ht="14.25" hidden="1" customHeight="1"/>
    <row r="235" ht="14.25" hidden="1" customHeight="1"/>
    <row r="236" ht="14.25" hidden="1" customHeight="1"/>
    <row r="237" ht="14.25" hidden="1" customHeight="1"/>
    <row r="238" ht="14.25" hidden="1" customHeight="1"/>
    <row r="239" ht="14.25" hidden="1" customHeight="1"/>
    <row r="240" ht="14.25" hidden="1" customHeight="1"/>
    <row r="241" ht="14.25" hidden="1" customHeight="1"/>
    <row r="242" ht="14.25" hidden="1" customHeight="1"/>
    <row r="243" ht="14.25" hidden="1" customHeight="1"/>
    <row r="244" ht="14.25" hidden="1" customHeight="1"/>
    <row r="245" ht="14.25" hidden="1" customHeight="1"/>
    <row r="246" ht="14.25" hidden="1" customHeight="1"/>
    <row r="247" ht="14.25" hidden="1" customHeight="1"/>
    <row r="248" ht="14.25" hidden="1" customHeight="1"/>
    <row r="249" ht="14.25" hidden="1" customHeight="1"/>
    <row r="250" ht="14.25" hidden="1" customHeight="1"/>
    <row r="251" ht="14.25" hidden="1" customHeight="1"/>
    <row r="252" ht="14.25" hidden="1" customHeight="1"/>
    <row r="253" ht="14.25" hidden="1" customHeight="1"/>
    <row r="254" ht="14.25" hidden="1" customHeight="1"/>
    <row r="255" ht="14.25" hidden="1" customHeight="1"/>
    <row r="256" ht="14.25" hidden="1" customHeight="1"/>
    <row r="257" ht="14.25" hidden="1" customHeight="1"/>
    <row r="258" ht="14.25" hidden="1" customHeight="1"/>
    <row r="259" ht="14.25" hidden="1" customHeight="1"/>
    <row r="260" ht="14.25" hidden="1" customHeight="1"/>
    <row r="261" ht="14.25" hidden="1" customHeight="1"/>
    <row r="262" ht="14.25" hidden="1" customHeight="1"/>
    <row r="263" ht="14.25" hidden="1" customHeight="1"/>
    <row r="264" ht="14.25" hidden="1" customHeight="1"/>
    <row r="265" ht="14.25" hidden="1" customHeight="1"/>
    <row r="266" ht="14.25" hidden="1" customHeight="1"/>
    <row r="267" ht="14.25" hidden="1" customHeight="1"/>
    <row r="268" ht="14.25" hidden="1" customHeight="1"/>
    <row r="269" ht="14.25" hidden="1" customHeight="1"/>
    <row r="270" ht="14.25" hidden="1" customHeight="1"/>
    <row r="271" ht="14.25" hidden="1" customHeight="1"/>
    <row r="272" ht="14.25" hidden="1" customHeight="1"/>
    <row r="273" ht="14.25" hidden="1" customHeight="1"/>
    <row r="274" ht="14.25" hidden="1" customHeight="1"/>
    <row r="275" ht="14.25" hidden="1" customHeight="1"/>
    <row r="276" ht="14.25" hidden="1" customHeight="1"/>
    <row r="277" ht="14.25" hidden="1" customHeight="1"/>
    <row r="278" ht="14.25" hidden="1" customHeight="1"/>
    <row r="279" ht="14.25" hidden="1" customHeight="1"/>
    <row r="280" ht="14.25" hidden="1" customHeight="1"/>
    <row r="281" ht="14.25" hidden="1" customHeight="1"/>
    <row r="282" ht="14.25" hidden="1" customHeight="1"/>
    <row r="283" ht="14.25" hidden="1" customHeight="1"/>
    <row r="284" ht="14.25" hidden="1" customHeight="1"/>
    <row r="285" ht="14.25" hidden="1" customHeight="1"/>
    <row r="286" ht="14.25" hidden="1" customHeight="1"/>
    <row r="287" ht="14.25" hidden="1" customHeight="1"/>
    <row r="288" ht="14.25" hidden="1" customHeight="1"/>
    <row r="289" ht="14.25" hidden="1" customHeight="1"/>
    <row r="290" ht="14.25" hidden="1" customHeight="1"/>
    <row r="291" ht="14.25" hidden="1" customHeight="1"/>
    <row r="292" ht="14.25" hidden="1" customHeight="1"/>
    <row r="293" ht="14.25" hidden="1" customHeight="1"/>
    <row r="294" ht="14.25" hidden="1" customHeight="1"/>
    <row r="295" ht="14.25" hidden="1" customHeight="1"/>
    <row r="296" ht="14.25" hidden="1" customHeight="1"/>
    <row r="297" ht="14.25" hidden="1" customHeight="1"/>
    <row r="298" ht="14.25" hidden="1" customHeight="1"/>
    <row r="299" ht="14.25" hidden="1" customHeight="1"/>
    <row r="300" ht="14.25" hidden="1" customHeight="1"/>
    <row r="301" ht="14.25" hidden="1" customHeight="1"/>
    <row r="302" ht="14.25" hidden="1" customHeight="1"/>
    <row r="303" ht="14.25" hidden="1" customHeight="1"/>
    <row r="304" ht="14.25" hidden="1" customHeight="1"/>
    <row r="305" ht="14.25" hidden="1" customHeight="1"/>
    <row r="306" ht="14.25" hidden="1" customHeight="1"/>
    <row r="307" ht="14.25" hidden="1" customHeight="1"/>
    <row r="308" ht="14.25" hidden="1" customHeight="1"/>
    <row r="309" ht="14.25" hidden="1" customHeight="1"/>
    <row r="310" ht="14.25" hidden="1" customHeight="1"/>
    <row r="311" ht="14.25" hidden="1" customHeight="1"/>
    <row r="312" ht="14.25" hidden="1" customHeight="1"/>
    <row r="313" ht="14.25" hidden="1" customHeight="1"/>
    <row r="314" ht="14.25" hidden="1" customHeight="1"/>
    <row r="315" ht="14.25" hidden="1" customHeight="1"/>
    <row r="316" ht="14.25" hidden="1" customHeight="1"/>
    <row r="317" ht="14.25" hidden="1" customHeight="1"/>
    <row r="318" ht="14.25" hidden="1" customHeight="1"/>
    <row r="319" ht="14.25" hidden="1" customHeight="1"/>
    <row r="320" ht="14.25" hidden="1" customHeight="1"/>
    <row r="321" ht="14.25" hidden="1" customHeight="1"/>
    <row r="322" ht="14.25" hidden="1" customHeight="1"/>
    <row r="323" ht="14.25" hidden="1" customHeight="1"/>
    <row r="324" ht="14.25" hidden="1" customHeight="1"/>
    <row r="325" ht="14.25" hidden="1" customHeight="1"/>
    <row r="326" ht="14.25" hidden="1" customHeight="1"/>
    <row r="327" ht="14.25" hidden="1" customHeight="1"/>
    <row r="328" ht="14.25" hidden="1" customHeight="1"/>
    <row r="329" ht="14.25" hidden="1" customHeight="1"/>
    <row r="330" ht="14.25" hidden="1" customHeight="1"/>
    <row r="331" ht="14.25" hidden="1" customHeight="1"/>
    <row r="332" ht="14.25" hidden="1" customHeight="1"/>
    <row r="333" ht="14.25" hidden="1" customHeight="1"/>
    <row r="334" ht="14.25" hidden="1" customHeight="1"/>
    <row r="335" ht="14.25" hidden="1" customHeight="1"/>
    <row r="336" ht="14.25" hidden="1" customHeight="1"/>
    <row r="337" ht="14.25" hidden="1" customHeight="1"/>
    <row r="338" ht="14.25" hidden="1" customHeight="1"/>
    <row r="339" ht="14.25" hidden="1" customHeight="1"/>
    <row r="340" ht="14.25" hidden="1" customHeight="1"/>
    <row r="341" ht="14.25" hidden="1" customHeight="1"/>
    <row r="342" ht="14.25" hidden="1" customHeight="1"/>
    <row r="343" ht="14.25" hidden="1" customHeight="1"/>
    <row r="344" ht="14.25" hidden="1" customHeight="1"/>
    <row r="345" ht="14.25" hidden="1" customHeight="1"/>
    <row r="346" ht="14.25" hidden="1" customHeight="1"/>
    <row r="347" ht="14.25" hidden="1" customHeight="1"/>
    <row r="348" ht="14.25" hidden="1" customHeight="1"/>
    <row r="349" ht="14.25" hidden="1" customHeight="1"/>
    <row r="350" ht="14.25" hidden="1" customHeight="1"/>
    <row r="351" ht="14.25" hidden="1" customHeight="1"/>
    <row r="352" ht="14.25" hidden="1" customHeight="1"/>
    <row r="353" ht="14.25" hidden="1" customHeight="1"/>
    <row r="354" ht="14.25" hidden="1" customHeight="1"/>
    <row r="355" ht="14.25" hidden="1" customHeight="1"/>
    <row r="356" ht="14.25" hidden="1" customHeight="1"/>
    <row r="357" ht="14.25" hidden="1" customHeight="1"/>
    <row r="358" ht="14.25" hidden="1" customHeight="1"/>
    <row r="359" ht="14.25" hidden="1" customHeight="1"/>
    <row r="360" ht="14.25" hidden="1" customHeight="1"/>
    <row r="361" ht="14.25" hidden="1" customHeight="1"/>
    <row r="362" ht="14.25" hidden="1" customHeight="1"/>
    <row r="363" ht="14.25" hidden="1" customHeight="1"/>
    <row r="364" ht="14.25" hidden="1" customHeight="1"/>
    <row r="365" ht="14.25" hidden="1" customHeight="1"/>
    <row r="366" ht="14.25" hidden="1" customHeight="1"/>
    <row r="367" ht="14.25" hidden="1" customHeight="1"/>
    <row r="368" ht="14.25" hidden="1" customHeight="1"/>
    <row r="369" ht="14.25" hidden="1" customHeight="1"/>
    <row r="370" ht="14.25" hidden="1" customHeight="1"/>
    <row r="371" ht="14.25" hidden="1" customHeight="1"/>
    <row r="372" ht="14.25" hidden="1" customHeight="1"/>
    <row r="373" ht="14.25" hidden="1" customHeight="1"/>
    <row r="374" ht="14.25" hidden="1" customHeight="1"/>
    <row r="375" ht="14.25" hidden="1" customHeight="1"/>
    <row r="376" ht="14.25" hidden="1" customHeight="1"/>
    <row r="377" ht="14.25" hidden="1" customHeight="1"/>
    <row r="378" ht="14.25" hidden="1" customHeight="1"/>
    <row r="379" ht="14.25" hidden="1" customHeight="1"/>
    <row r="380" ht="14.25" hidden="1" customHeight="1"/>
    <row r="381" ht="14.25" hidden="1" customHeight="1"/>
    <row r="382" ht="14.25" hidden="1" customHeight="1"/>
    <row r="383" ht="14.25" hidden="1" customHeight="1"/>
    <row r="384" ht="14.25" hidden="1" customHeight="1"/>
    <row r="385" ht="14.25" hidden="1" customHeight="1"/>
    <row r="386" ht="14.25" hidden="1" customHeight="1"/>
    <row r="387" ht="14.25" hidden="1" customHeight="1"/>
    <row r="388" ht="14.25" hidden="1" customHeight="1"/>
    <row r="389" ht="14.25" hidden="1" customHeight="1"/>
    <row r="390" ht="14.25" hidden="1" customHeight="1"/>
    <row r="391" ht="14.25" hidden="1" customHeight="1"/>
    <row r="392" ht="14.25" hidden="1" customHeight="1"/>
    <row r="393" ht="14.25" hidden="1" customHeight="1"/>
    <row r="394" ht="14.25" hidden="1" customHeight="1"/>
    <row r="395" ht="14.25" hidden="1" customHeight="1"/>
    <row r="396" ht="14.25" hidden="1" customHeight="1"/>
    <row r="397" ht="14.25" hidden="1" customHeight="1"/>
    <row r="398" ht="14.25" hidden="1" customHeight="1"/>
    <row r="399" ht="14.25" hidden="1" customHeight="1"/>
    <row r="400" ht="14.25" hidden="1" customHeight="1"/>
    <row r="401" ht="14.25" hidden="1" customHeight="1"/>
    <row r="402" ht="14.25" hidden="1" customHeight="1"/>
    <row r="403" ht="14.25" hidden="1" customHeight="1"/>
    <row r="404" ht="14.25" hidden="1" customHeight="1"/>
    <row r="405" ht="14.25" hidden="1" customHeight="1"/>
    <row r="406" ht="14.25" hidden="1" customHeight="1"/>
    <row r="407" ht="14.25" hidden="1" customHeight="1"/>
    <row r="408" ht="14.25" hidden="1" customHeight="1"/>
    <row r="409" ht="14.25" hidden="1" customHeight="1"/>
    <row r="410" ht="14.25" hidden="1" customHeight="1"/>
    <row r="411" ht="14.25" hidden="1" customHeight="1"/>
    <row r="412" ht="14.25" hidden="1" customHeight="1"/>
    <row r="413" ht="14.25" hidden="1" customHeight="1"/>
    <row r="414" ht="14.25" hidden="1" customHeight="1"/>
    <row r="415" ht="14.25" hidden="1" customHeight="1"/>
    <row r="416" ht="14.25" hidden="1" customHeight="1"/>
    <row r="417" ht="14.25" hidden="1" customHeight="1"/>
    <row r="418" ht="14.25" hidden="1" customHeight="1"/>
    <row r="419" ht="14.25" hidden="1" customHeight="1"/>
    <row r="420" ht="14.25" hidden="1" customHeight="1"/>
    <row r="421" ht="14.25" hidden="1" customHeight="1"/>
    <row r="422" ht="14.25" hidden="1" customHeight="1"/>
    <row r="423" ht="14.25" hidden="1" customHeight="1"/>
    <row r="424" ht="14.25" hidden="1" customHeight="1"/>
    <row r="425" ht="14.25" hidden="1" customHeight="1"/>
    <row r="426" ht="14.25" hidden="1" customHeight="1"/>
    <row r="427" ht="14.25" hidden="1" customHeight="1"/>
    <row r="428" ht="14.25" hidden="1" customHeight="1"/>
    <row r="429" ht="14.25" hidden="1" customHeight="1"/>
    <row r="430" ht="14.25" hidden="1" customHeight="1"/>
    <row r="431" ht="14.25" hidden="1" customHeight="1"/>
    <row r="432" ht="14.25" hidden="1" customHeight="1"/>
    <row r="433" ht="14.25" hidden="1" customHeight="1"/>
    <row r="434" ht="14.25" hidden="1" customHeight="1"/>
    <row r="435" ht="14.25" hidden="1" customHeight="1"/>
    <row r="436" ht="14.25" hidden="1" customHeight="1"/>
    <row r="437" ht="14.25" hidden="1" customHeight="1"/>
    <row r="438" ht="14.25" hidden="1" customHeight="1"/>
    <row r="439" ht="14.25" hidden="1" customHeight="1"/>
    <row r="440" ht="14.25" hidden="1" customHeight="1"/>
    <row r="441" ht="14.25" hidden="1" customHeight="1"/>
    <row r="442" ht="14.25" hidden="1" customHeight="1"/>
    <row r="443" ht="14.25" hidden="1" customHeight="1"/>
    <row r="444" ht="14.25" hidden="1" customHeight="1"/>
    <row r="445" ht="14.25" hidden="1" customHeight="1"/>
    <row r="446" ht="14.25" hidden="1" customHeight="1"/>
    <row r="447" ht="14.25" hidden="1" customHeight="1"/>
    <row r="448" ht="14.25" hidden="1" customHeight="1"/>
    <row r="449" ht="14.25" hidden="1" customHeight="1"/>
    <row r="450" ht="14.25" hidden="1" customHeight="1"/>
    <row r="451" ht="14.25" hidden="1" customHeight="1"/>
    <row r="452" ht="14.25" hidden="1" customHeight="1"/>
    <row r="453" ht="14.25" hidden="1" customHeight="1"/>
    <row r="454" ht="14.25" hidden="1" customHeight="1"/>
    <row r="455" ht="14.25" hidden="1" customHeight="1"/>
    <row r="456" ht="14.25" hidden="1" customHeight="1"/>
    <row r="457" ht="14.25" hidden="1" customHeight="1"/>
    <row r="458" ht="14.25" hidden="1" customHeight="1"/>
    <row r="459" ht="14.25" hidden="1" customHeight="1"/>
    <row r="460" ht="14.25" hidden="1" customHeight="1"/>
    <row r="461" ht="14.25" hidden="1" customHeight="1"/>
    <row r="462" ht="14.25" hidden="1" customHeight="1"/>
    <row r="463" ht="14.25" hidden="1" customHeight="1"/>
    <row r="464" ht="14.25" hidden="1" customHeight="1"/>
    <row r="465" ht="14.25" hidden="1" customHeight="1"/>
    <row r="466" ht="14.25" hidden="1" customHeight="1"/>
    <row r="467" ht="14.25" hidden="1" customHeight="1"/>
    <row r="468" ht="14.25" hidden="1" customHeight="1"/>
    <row r="469" ht="14.25" hidden="1" customHeight="1"/>
    <row r="470" ht="14.25" hidden="1" customHeight="1"/>
    <row r="471" ht="14.25" hidden="1" customHeight="1"/>
    <row r="472" ht="14.25" hidden="1" customHeight="1"/>
    <row r="473" ht="14.25" hidden="1" customHeight="1"/>
    <row r="474" ht="14.25" hidden="1" customHeight="1"/>
    <row r="475" ht="14.25" hidden="1" customHeight="1"/>
    <row r="476" ht="14.25" hidden="1" customHeight="1"/>
    <row r="477" ht="14.25" hidden="1" customHeight="1"/>
    <row r="478" ht="14.25" hidden="1" customHeight="1"/>
    <row r="479" ht="14.25" hidden="1" customHeight="1"/>
    <row r="480" ht="14.25" hidden="1" customHeight="1"/>
    <row r="481" ht="14.25" hidden="1" customHeight="1"/>
    <row r="482" ht="14.25" hidden="1" customHeight="1"/>
    <row r="483" ht="14.25" hidden="1" customHeight="1"/>
    <row r="484" ht="14.25" hidden="1" customHeight="1"/>
    <row r="485" ht="14.25" hidden="1" customHeight="1"/>
    <row r="486" ht="14.25" hidden="1" customHeight="1"/>
    <row r="487" ht="14.25" hidden="1" customHeight="1"/>
    <row r="488" ht="14.25" hidden="1" customHeight="1"/>
    <row r="489" ht="14.25" hidden="1" customHeight="1"/>
    <row r="490" ht="14.25" hidden="1" customHeight="1"/>
    <row r="491" ht="14.25" hidden="1" customHeight="1"/>
    <row r="492" ht="14.25" hidden="1" customHeight="1"/>
    <row r="493" ht="14.25" hidden="1" customHeight="1"/>
    <row r="494" ht="14.25" hidden="1" customHeight="1"/>
    <row r="495" ht="14.25" hidden="1" customHeight="1"/>
    <row r="496" ht="14.25" hidden="1" customHeight="1"/>
    <row r="497" ht="14.25" hidden="1" customHeight="1"/>
    <row r="498" ht="14.25" hidden="1" customHeight="1"/>
    <row r="499" ht="14.25" hidden="1" customHeight="1"/>
    <row r="500" ht="14.25" hidden="1" customHeight="1"/>
    <row r="501" ht="14.25" hidden="1" customHeight="1"/>
    <row r="502" ht="14.25" hidden="1" customHeight="1"/>
    <row r="503" ht="14.25" hidden="1" customHeight="1"/>
    <row r="504" ht="14.25" hidden="1" customHeight="1"/>
    <row r="505" ht="14.25" hidden="1" customHeight="1"/>
    <row r="506" ht="14.25" hidden="1" customHeight="1"/>
    <row r="507" ht="14.25" hidden="1" customHeight="1"/>
    <row r="508" ht="14.25" hidden="1" customHeight="1"/>
    <row r="509" ht="14.25" hidden="1" customHeight="1"/>
    <row r="510" ht="14.25" hidden="1" customHeight="1"/>
    <row r="511" ht="14.25" hidden="1" customHeight="1"/>
    <row r="512" ht="14.25" hidden="1" customHeight="1"/>
    <row r="513" ht="14.25" hidden="1" customHeight="1"/>
    <row r="514" ht="14.25" hidden="1" customHeight="1"/>
    <row r="515" ht="14.25" hidden="1" customHeight="1"/>
    <row r="516" ht="14.25" hidden="1" customHeight="1"/>
    <row r="517" ht="14.25" hidden="1" customHeight="1"/>
    <row r="518" ht="14.25" hidden="1" customHeight="1"/>
    <row r="519" ht="14.25" hidden="1" customHeight="1"/>
    <row r="520" ht="14.25" hidden="1" customHeight="1"/>
    <row r="521" ht="14.25" hidden="1" customHeight="1"/>
    <row r="522" ht="14.25" hidden="1" customHeight="1"/>
    <row r="523" ht="14.25" hidden="1" customHeight="1"/>
    <row r="524" ht="14.25" hidden="1" customHeight="1"/>
    <row r="525" ht="14.25" hidden="1" customHeight="1"/>
    <row r="526" ht="14.25" hidden="1" customHeight="1"/>
    <row r="527" ht="14.25" hidden="1" customHeight="1"/>
    <row r="528" ht="14.25" hidden="1" customHeight="1"/>
    <row r="529" ht="14.25" hidden="1" customHeight="1"/>
    <row r="530" ht="14.25" hidden="1" customHeight="1"/>
    <row r="531" ht="14.25" hidden="1" customHeight="1"/>
    <row r="532" ht="14.25" hidden="1" customHeight="1"/>
    <row r="533" ht="14.25" hidden="1" customHeight="1"/>
    <row r="534" ht="14.25" hidden="1" customHeight="1"/>
    <row r="535" ht="14.25" hidden="1" customHeight="1"/>
    <row r="536" ht="14.25" hidden="1" customHeight="1"/>
    <row r="537" ht="14.25" hidden="1" customHeight="1"/>
    <row r="538" ht="14.25" hidden="1" customHeight="1"/>
    <row r="539" ht="14.25" hidden="1" customHeight="1"/>
    <row r="540" ht="14.25" hidden="1" customHeight="1"/>
    <row r="541" ht="14.25" hidden="1" customHeight="1"/>
    <row r="542" ht="14.25" hidden="1" customHeight="1"/>
    <row r="543" ht="14.25" hidden="1" customHeight="1"/>
    <row r="544" ht="14.25" hidden="1" customHeight="1"/>
    <row r="545" ht="14.25" hidden="1" customHeight="1"/>
    <row r="546" ht="14.25" hidden="1" customHeight="1"/>
    <row r="547" ht="14.25" hidden="1" customHeight="1"/>
    <row r="548" ht="14.25" hidden="1" customHeight="1"/>
    <row r="549" ht="14.25" hidden="1" customHeight="1"/>
    <row r="550" ht="14.25" hidden="1" customHeight="1"/>
    <row r="551" ht="14.25" hidden="1" customHeight="1"/>
    <row r="552" ht="14.25" hidden="1" customHeight="1"/>
    <row r="553" ht="14.25" hidden="1" customHeight="1"/>
    <row r="554" ht="14.25" hidden="1" customHeight="1"/>
    <row r="555" ht="14.25" hidden="1" customHeight="1"/>
    <row r="556" ht="14.25" hidden="1" customHeight="1"/>
    <row r="557" ht="14.25" hidden="1" customHeight="1"/>
    <row r="558" ht="14.25" hidden="1" customHeight="1"/>
    <row r="559" ht="14.25" hidden="1" customHeight="1"/>
    <row r="560" ht="14.25" hidden="1" customHeight="1"/>
    <row r="561" ht="14.25" hidden="1" customHeight="1"/>
    <row r="562" ht="14.25" hidden="1" customHeight="1"/>
    <row r="563" ht="14.25" hidden="1" customHeight="1"/>
    <row r="564" ht="14.25" hidden="1" customHeight="1"/>
    <row r="565" ht="14.25" hidden="1" customHeight="1"/>
    <row r="566" ht="14.25" hidden="1" customHeight="1"/>
    <row r="567" ht="14.25" hidden="1" customHeight="1"/>
    <row r="568" ht="14.25" hidden="1" customHeight="1"/>
    <row r="569" ht="14.25" hidden="1" customHeight="1"/>
    <row r="570" ht="14.25" hidden="1" customHeight="1"/>
    <row r="571" ht="14.25" hidden="1" customHeight="1"/>
    <row r="572" ht="14.25" hidden="1" customHeight="1"/>
    <row r="573" ht="14.25" hidden="1" customHeight="1"/>
    <row r="574" ht="14.25" hidden="1" customHeight="1"/>
    <row r="575" ht="14.25" hidden="1" customHeight="1"/>
    <row r="576" ht="14.25" hidden="1" customHeight="1"/>
    <row r="577" ht="14.25" hidden="1" customHeight="1"/>
    <row r="578" ht="14.25" hidden="1" customHeight="1"/>
    <row r="579" ht="14.25" hidden="1" customHeight="1"/>
    <row r="580" ht="14.25" hidden="1" customHeight="1"/>
    <row r="581" ht="14.25" hidden="1" customHeight="1"/>
    <row r="582" ht="14.25" hidden="1" customHeight="1"/>
    <row r="583" ht="14.25" hidden="1" customHeight="1"/>
    <row r="584" ht="14.25" hidden="1" customHeight="1"/>
    <row r="585" ht="14.25" hidden="1" customHeight="1"/>
    <row r="586" ht="14.25" hidden="1" customHeight="1"/>
    <row r="587" ht="14.25" hidden="1" customHeight="1"/>
    <row r="588" ht="14.25" hidden="1" customHeight="1"/>
    <row r="589" ht="14.25" hidden="1" customHeight="1"/>
    <row r="590" ht="14.25" hidden="1" customHeight="1"/>
    <row r="591" ht="14.25" hidden="1" customHeight="1"/>
    <row r="592" ht="14.25" hidden="1" customHeight="1"/>
    <row r="593" ht="14.25" hidden="1" customHeight="1"/>
    <row r="594" ht="14.25" hidden="1" customHeight="1"/>
    <row r="595" ht="14.25" hidden="1" customHeight="1"/>
    <row r="596" ht="14.25" hidden="1" customHeight="1"/>
    <row r="597" ht="14.25" hidden="1" customHeight="1"/>
    <row r="598" ht="14.25" hidden="1" customHeight="1"/>
    <row r="599" ht="14.25" hidden="1" customHeight="1"/>
    <row r="600" ht="14.25" hidden="1" customHeight="1"/>
    <row r="601" ht="14.25" hidden="1" customHeight="1"/>
    <row r="602" ht="14.25" hidden="1" customHeight="1"/>
    <row r="603" ht="14.25" hidden="1" customHeight="1"/>
    <row r="604" ht="14.25" hidden="1" customHeight="1"/>
    <row r="605" ht="14.25" hidden="1" customHeight="1"/>
    <row r="606" ht="14.25" hidden="1" customHeight="1"/>
    <row r="607" ht="14.25" hidden="1" customHeight="1"/>
    <row r="608" ht="14.25" hidden="1" customHeight="1"/>
    <row r="609" ht="14.25" hidden="1" customHeight="1"/>
    <row r="610" ht="14.25" hidden="1" customHeight="1"/>
    <row r="611" ht="14.25" hidden="1" customHeight="1"/>
    <row r="612" ht="14.25" hidden="1" customHeight="1"/>
    <row r="613" ht="14.25" hidden="1" customHeight="1"/>
    <row r="614" ht="14.25" hidden="1" customHeight="1"/>
    <row r="615" ht="14.25" hidden="1" customHeight="1"/>
    <row r="616" ht="14.25" hidden="1" customHeight="1"/>
    <row r="617" ht="14.25" hidden="1" customHeight="1"/>
    <row r="618" ht="14.25" hidden="1" customHeight="1"/>
    <row r="619" ht="14.25" hidden="1" customHeight="1"/>
    <row r="620" ht="14.25" hidden="1" customHeight="1"/>
    <row r="621" ht="14.25" hidden="1" customHeight="1"/>
    <row r="622" ht="14.25" hidden="1" customHeight="1"/>
    <row r="623" ht="14.25" hidden="1" customHeight="1"/>
    <row r="624" ht="14.25" hidden="1" customHeight="1"/>
    <row r="625" ht="14.25" hidden="1" customHeight="1"/>
    <row r="626" ht="14.25" hidden="1" customHeight="1"/>
    <row r="627" ht="14.25" hidden="1" customHeight="1"/>
    <row r="628" ht="14.25" hidden="1" customHeight="1"/>
    <row r="629" ht="14.25" hidden="1" customHeight="1"/>
    <row r="630" ht="14.25" hidden="1" customHeight="1"/>
    <row r="631" ht="14.25" hidden="1" customHeight="1"/>
    <row r="632" ht="14.25" hidden="1" customHeight="1"/>
    <row r="633" ht="14.25" hidden="1" customHeight="1"/>
    <row r="634" ht="14.25" hidden="1" customHeight="1"/>
    <row r="635" ht="14.25" hidden="1" customHeight="1"/>
    <row r="636" ht="14.25" hidden="1" customHeight="1"/>
    <row r="637" ht="14.25" hidden="1" customHeight="1"/>
    <row r="638" ht="14.25" hidden="1" customHeight="1"/>
    <row r="639" ht="14.25" hidden="1" customHeight="1"/>
    <row r="640" ht="14.25" hidden="1" customHeight="1"/>
    <row r="641" ht="14.25" hidden="1" customHeight="1"/>
    <row r="642" ht="14.25" hidden="1" customHeight="1"/>
    <row r="643" ht="14.25" hidden="1" customHeight="1"/>
    <row r="644" ht="14.25" hidden="1" customHeight="1"/>
    <row r="645" ht="14.25" hidden="1" customHeight="1"/>
    <row r="646" ht="14.25" hidden="1" customHeight="1"/>
    <row r="647" ht="14.25" hidden="1" customHeight="1"/>
    <row r="648" ht="14.25" hidden="1" customHeight="1"/>
    <row r="649" ht="14.25" hidden="1" customHeight="1"/>
    <row r="650" ht="14.25" hidden="1" customHeight="1"/>
    <row r="651" ht="14.25" hidden="1" customHeight="1"/>
    <row r="652" ht="14.25" hidden="1" customHeight="1"/>
    <row r="653" ht="14.25" hidden="1" customHeight="1"/>
    <row r="654" ht="14.25" hidden="1" customHeight="1"/>
    <row r="655" ht="14.25" hidden="1" customHeight="1"/>
    <row r="656" ht="14.25" hidden="1" customHeight="1"/>
    <row r="657" ht="14.25" hidden="1" customHeight="1"/>
    <row r="658" ht="14.25" hidden="1" customHeight="1"/>
    <row r="659" ht="14.25" hidden="1" customHeight="1"/>
    <row r="660" ht="14.25" hidden="1" customHeight="1"/>
    <row r="661" ht="14.25" hidden="1" customHeight="1"/>
    <row r="662" ht="14.25" hidden="1" customHeight="1"/>
    <row r="663" ht="14.25" hidden="1" customHeight="1"/>
    <row r="664" ht="14.25" hidden="1" customHeight="1"/>
    <row r="665" ht="14.25" hidden="1" customHeight="1"/>
    <row r="666" ht="14.25" hidden="1" customHeight="1"/>
    <row r="667" ht="14.25" hidden="1" customHeight="1"/>
    <row r="668" ht="14.25" hidden="1" customHeight="1"/>
    <row r="669" ht="14.25" hidden="1" customHeight="1"/>
    <row r="670" ht="14.25" hidden="1" customHeight="1"/>
    <row r="671" ht="14.25" hidden="1" customHeight="1"/>
    <row r="672" ht="14.25" hidden="1" customHeight="1"/>
    <row r="673" ht="14.25" hidden="1" customHeight="1"/>
    <row r="674" ht="14.25" hidden="1" customHeight="1"/>
    <row r="675" ht="14.25" hidden="1" customHeight="1"/>
    <row r="676" ht="14.25" hidden="1" customHeight="1"/>
    <row r="677" ht="14.25" hidden="1" customHeight="1"/>
    <row r="678" ht="14.25" hidden="1" customHeight="1"/>
    <row r="679" ht="14.25" hidden="1" customHeight="1"/>
    <row r="680" ht="14.25" hidden="1" customHeight="1"/>
    <row r="681" ht="14.25" hidden="1" customHeight="1"/>
    <row r="682" ht="14.25" hidden="1" customHeight="1"/>
    <row r="683" ht="14.25" hidden="1" customHeight="1"/>
    <row r="684" ht="14.25" hidden="1" customHeight="1"/>
    <row r="685" ht="14.25" hidden="1" customHeight="1"/>
    <row r="686" ht="14.25" hidden="1" customHeight="1"/>
    <row r="687" ht="14.25" hidden="1" customHeight="1"/>
    <row r="688" ht="14.25" hidden="1" customHeight="1"/>
    <row r="689" ht="14.25" hidden="1" customHeight="1"/>
    <row r="690" ht="14.25" hidden="1" customHeight="1"/>
    <row r="691" ht="14.25" hidden="1" customHeight="1"/>
    <row r="692" ht="14.25" hidden="1" customHeight="1"/>
    <row r="693" ht="14.25" hidden="1" customHeight="1"/>
    <row r="694" ht="14.25" hidden="1" customHeight="1"/>
    <row r="695" ht="14.25" hidden="1" customHeight="1"/>
    <row r="696" ht="14.25" hidden="1" customHeight="1"/>
    <row r="697" ht="14.25" hidden="1" customHeight="1"/>
    <row r="698" ht="14.25" hidden="1" customHeight="1"/>
    <row r="699" ht="14.25" hidden="1" customHeight="1"/>
    <row r="700" ht="14.25" hidden="1" customHeight="1"/>
    <row r="701" ht="14.25" hidden="1" customHeight="1"/>
    <row r="702" ht="14.25" hidden="1" customHeight="1"/>
    <row r="703" ht="14.25" hidden="1" customHeight="1"/>
    <row r="704" ht="14.25" hidden="1" customHeight="1"/>
    <row r="705" ht="14.25" hidden="1" customHeight="1"/>
    <row r="706" ht="14.25" hidden="1" customHeight="1"/>
    <row r="707" ht="14.25" hidden="1" customHeight="1"/>
    <row r="708" ht="14.25" hidden="1" customHeight="1"/>
    <row r="709" ht="14.25" hidden="1" customHeight="1"/>
    <row r="710" ht="14.25" hidden="1" customHeight="1"/>
    <row r="711" ht="14.25" hidden="1" customHeight="1"/>
    <row r="712" ht="14.25" hidden="1" customHeight="1"/>
    <row r="713" ht="14.25" hidden="1" customHeight="1"/>
    <row r="714" ht="14.25" hidden="1" customHeight="1"/>
    <row r="715" ht="14.25" hidden="1" customHeight="1"/>
    <row r="716" ht="14.25" hidden="1" customHeight="1"/>
    <row r="717" ht="14.25" hidden="1" customHeight="1"/>
    <row r="718" ht="14.25" hidden="1" customHeight="1"/>
    <row r="719" ht="14.25" hidden="1" customHeight="1"/>
    <row r="720" ht="14.25" hidden="1" customHeight="1"/>
    <row r="721" ht="14.25" hidden="1" customHeight="1"/>
    <row r="722" ht="14.25" hidden="1" customHeight="1"/>
    <row r="723" ht="14.25" hidden="1" customHeight="1"/>
    <row r="724" ht="14.25" hidden="1" customHeight="1"/>
    <row r="725" ht="14.25" hidden="1" customHeight="1"/>
    <row r="726" ht="14.25" hidden="1" customHeight="1"/>
    <row r="727" ht="14.25" hidden="1" customHeight="1"/>
    <row r="728" ht="14.25" hidden="1" customHeight="1"/>
    <row r="729" ht="14.25" hidden="1" customHeight="1"/>
    <row r="730" ht="14.25" hidden="1" customHeight="1"/>
    <row r="731" ht="14.25" hidden="1" customHeight="1"/>
    <row r="732" ht="14.25" hidden="1" customHeight="1"/>
    <row r="733" ht="14.25" hidden="1" customHeight="1"/>
    <row r="734" ht="14.25" hidden="1" customHeight="1"/>
    <row r="735" ht="14.25" hidden="1" customHeight="1"/>
    <row r="736" ht="14.25" hidden="1" customHeight="1"/>
    <row r="737" ht="14.25" hidden="1" customHeight="1"/>
    <row r="738" ht="14.25" hidden="1" customHeight="1"/>
    <row r="739" ht="14.25" hidden="1" customHeight="1"/>
    <row r="740" ht="14.25" hidden="1" customHeight="1"/>
    <row r="741" ht="14.25" hidden="1" customHeight="1"/>
    <row r="742" ht="14.25" hidden="1" customHeight="1"/>
    <row r="743" ht="14.25" hidden="1" customHeight="1"/>
    <row r="744" ht="14.25" hidden="1" customHeight="1"/>
    <row r="745" ht="14.25" hidden="1" customHeight="1"/>
    <row r="746" ht="14.25" hidden="1" customHeight="1"/>
    <row r="747" ht="14.25" hidden="1" customHeight="1"/>
    <row r="748" ht="14.25" hidden="1" customHeight="1"/>
    <row r="749" ht="14.25" hidden="1" customHeight="1"/>
    <row r="750" ht="14.25" hidden="1" customHeight="1"/>
    <row r="751" ht="14.25" hidden="1" customHeight="1"/>
    <row r="752" ht="14.25" hidden="1" customHeight="1"/>
    <row r="753" ht="14.25" hidden="1" customHeight="1"/>
    <row r="754" ht="14.25" hidden="1" customHeight="1"/>
    <row r="755" ht="14.25" hidden="1" customHeight="1"/>
    <row r="756" ht="14.25" hidden="1" customHeight="1"/>
    <row r="757" ht="14.25" hidden="1" customHeight="1"/>
    <row r="758" ht="14.25" hidden="1" customHeight="1"/>
    <row r="759" ht="14.25" hidden="1" customHeight="1"/>
    <row r="760" ht="14.25" hidden="1" customHeight="1"/>
    <row r="761" ht="14.25" hidden="1" customHeight="1"/>
    <row r="762" ht="14.25" hidden="1" customHeight="1"/>
    <row r="763" ht="14.25" hidden="1" customHeight="1"/>
    <row r="764" ht="14.25" hidden="1" customHeight="1"/>
    <row r="765" ht="14.25" hidden="1" customHeight="1"/>
    <row r="766" ht="14.25" hidden="1" customHeight="1"/>
    <row r="767" ht="14.25" hidden="1" customHeight="1"/>
    <row r="768" ht="14.25" hidden="1" customHeight="1"/>
    <row r="769" ht="14.25" hidden="1" customHeight="1"/>
    <row r="770" ht="14.25" hidden="1" customHeight="1"/>
    <row r="771" ht="14.25" hidden="1" customHeight="1"/>
    <row r="772" ht="14.25" hidden="1" customHeight="1"/>
    <row r="773" ht="14.25" hidden="1" customHeight="1"/>
    <row r="774" ht="14.25" hidden="1" customHeight="1"/>
    <row r="775" ht="14.25" hidden="1" customHeight="1"/>
    <row r="776" ht="14.25" hidden="1" customHeight="1"/>
    <row r="777" ht="14.25" hidden="1" customHeight="1"/>
    <row r="778" ht="14.25" hidden="1" customHeight="1"/>
    <row r="779" ht="14.25" hidden="1" customHeight="1"/>
    <row r="780" ht="14.25" hidden="1" customHeight="1"/>
    <row r="781" ht="14.25" hidden="1" customHeight="1"/>
    <row r="782" ht="14.25" hidden="1" customHeight="1"/>
    <row r="783" ht="14.25" hidden="1" customHeight="1"/>
    <row r="784" ht="14.25" hidden="1" customHeight="1"/>
    <row r="785" ht="14.25" hidden="1" customHeight="1"/>
    <row r="786" ht="14.25" hidden="1" customHeight="1"/>
    <row r="787" ht="14.25" hidden="1" customHeight="1"/>
    <row r="788" ht="14.25" hidden="1" customHeight="1"/>
    <row r="789" ht="14.25" hidden="1" customHeight="1"/>
    <row r="790" ht="14.25" hidden="1" customHeight="1"/>
    <row r="791" ht="14.25" hidden="1" customHeight="1"/>
    <row r="792" ht="14.25" hidden="1" customHeight="1"/>
    <row r="793" ht="14.25" hidden="1" customHeight="1"/>
    <row r="794" ht="14.25" hidden="1" customHeight="1"/>
    <row r="795" ht="14.25" hidden="1" customHeight="1"/>
    <row r="796" ht="14.25" hidden="1" customHeight="1"/>
    <row r="797" ht="14.25" hidden="1" customHeight="1"/>
    <row r="798" ht="14.25" hidden="1" customHeight="1"/>
    <row r="799" ht="14.25" hidden="1" customHeight="1"/>
    <row r="800" ht="14.25" hidden="1" customHeight="1"/>
    <row r="801" ht="14.25" hidden="1" customHeight="1"/>
    <row r="802" ht="14.25" hidden="1" customHeight="1"/>
    <row r="803" ht="14.25" hidden="1" customHeight="1"/>
    <row r="804" ht="14.25" hidden="1" customHeight="1"/>
    <row r="805" ht="14.25" hidden="1" customHeight="1"/>
    <row r="806" ht="14.25" hidden="1" customHeight="1"/>
    <row r="807" ht="14.25" hidden="1" customHeight="1"/>
    <row r="808" ht="14.25" hidden="1" customHeight="1"/>
    <row r="809" ht="14.25" hidden="1" customHeight="1"/>
    <row r="810" ht="14.25" hidden="1" customHeight="1"/>
    <row r="811" ht="14.25" hidden="1" customHeight="1"/>
    <row r="812" ht="14.25" hidden="1" customHeight="1"/>
    <row r="813" ht="14.25" hidden="1" customHeight="1"/>
    <row r="814" ht="14.25" hidden="1" customHeight="1"/>
    <row r="815" ht="14.25" hidden="1" customHeight="1"/>
    <row r="816" ht="14.25" hidden="1" customHeight="1"/>
    <row r="817" ht="14.25" hidden="1" customHeight="1"/>
    <row r="818" ht="14.25" hidden="1" customHeight="1"/>
    <row r="819" ht="14.25" hidden="1" customHeight="1"/>
    <row r="820" ht="14.25" hidden="1" customHeight="1"/>
    <row r="821" ht="14.25" hidden="1" customHeight="1"/>
    <row r="822" ht="14.25" hidden="1" customHeight="1"/>
    <row r="823" ht="14.25" hidden="1" customHeight="1"/>
    <row r="824" ht="14.25" hidden="1" customHeight="1"/>
    <row r="825" ht="14.25" hidden="1" customHeight="1"/>
    <row r="826" ht="14.25" hidden="1" customHeight="1"/>
    <row r="827" ht="14.25" hidden="1" customHeight="1"/>
    <row r="828" ht="14.25" hidden="1" customHeight="1"/>
    <row r="829" ht="14.25" hidden="1" customHeight="1"/>
    <row r="830" ht="14.25" hidden="1" customHeight="1"/>
    <row r="831" ht="14.25" hidden="1" customHeight="1"/>
    <row r="832" ht="14.25" hidden="1" customHeight="1"/>
    <row r="833" ht="14.25" hidden="1" customHeight="1"/>
    <row r="834" ht="14.25" hidden="1" customHeight="1"/>
    <row r="835" ht="14.25" hidden="1" customHeight="1"/>
    <row r="836" ht="14.25" hidden="1" customHeight="1"/>
    <row r="837" ht="14.25" hidden="1" customHeight="1"/>
    <row r="838" ht="14.25" hidden="1" customHeight="1"/>
    <row r="839" ht="14.25" hidden="1" customHeight="1"/>
    <row r="840" ht="14.25" hidden="1" customHeight="1"/>
    <row r="841" ht="14.25" hidden="1" customHeight="1"/>
    <row r="842" ht="14.25" hidden="1" customHeight="1"/>
    <row r="843" ht="14.25" hidden="1" customHeight="1"/>
    <row r="844" ht="14.25" hidden="1" customHeight="1"/>
    <row r="845" ht="14.25" hidden="1" customHeight="1"/>
    <row r="846" ht="14.25" hidden="1" customHeight="1"/>
    <row r="847" ht="14.25" hidden="1" customHeight="1"/>
    <row r="848" ht="14.25" hidden="1" customHeight="1"/>
    <row r="849" ht="14.25" hidden="1" customHeight="1"/>
    <row r="850" ht="14.25" hidden="1" customHeight="1"/>
    <row r="851" ht="14.25" hidden="1" customHeight="1"/>
    <row r="852" ht="14.25" hidden="1" customHeight="1"/>
    <row r="853" ht="14.25" hidden="1" customHeight="1"/>
    <row r="854" ht="14.25" hidden="1" customHeight="1"/>
    <row r="855" ht="14.25" hidden="1" customHeight="1"/>
    <row r="856" ht="14.25" hidden="1" customHeight="1"/>
    <row r="857" ht="14.25" hidden="1" customHeight="1"/>
    <row r="858" ht="14.25" hidden="1" customHeight="1"/>
    <row r="859" ht="14.25" hidden="1" customHeight="1"/>
    <row r="860" ht="14.25" hidden="1" customHeight="1"/>
    <row r="861" ht="14.25" hidden="1" customHeight="1"/>
    <row r="862" ht="14.25" hidden="1" customHeight="1"/>
    <row r="863" ht="14.25" hidden="1" customHeight="1"/>
    <row r="864" ht="14.25" hidden="1" customHeight="1"/>
    <row r="865" ht="14.25" hidden="1" customHeight="1"/>
    <row r="866" ht="14.25" hidden="1" customHeight="1"/>
    <row r="867" ht="14.25" hidden="1" customHeight="1"/>
    <row r="868" ht="14.25" hidden="1" customHeight="1"/>
    <row r="869" ht="14.25" hidden="1" customHeight="1"/>
    <row r="870" ht="14.25" hidden="1" customHeight="1"/>
    <row r="871" ht="14.25" hidden="1" customHeight="1"/>
    <row r="872" ht="14.25" hidden="1" customHeight="1"/>
    <row r="873" ht="14.25" hidden="1" customHeight="1"/>
    <row r="874" ht="14.25" hidden="1" customHeight="1"/>
    <row r="875" ht="14.25" hidden="1" customHeight="1"/>
    <row r="876" ht="14.25" hidden="1" customHeight="1"/>
    <row r="877" ht="14.25" hidden="1" customHeight="1"/>
    <row r="878" ht="14.25" hidden="1" customHeight="1"/>
    <row r="879" ht="14.25" hidden="1" customHeight="1"/>
    <row r="880" ht="14.25" hidden="1" customHeight="1"/>
    <row r="881" ht="14.25" hidden="1" customHeight="1"/>
    <row r="882" ht="14.25" hidden="1" customHeight="1"/>
    <row r="883" ht="14.25" hidden="1" customHeight="1"/>
    <row r="884" ht="14.25" hidden="1" customHeight="1"/>
    <row r="885" ht="14.25" hidden="1" customHeight="1"/>
    <row r="886" ht="14.25" hidden="1" customHeight="1"/>
    <row r="887" ht="14.25" hidden="1" customHeight="1"/>
    <row r="888" ht="14.25" hidden="1" customHeight="1"/>
    <row r="889" ht="14.25" hidden="1" customHeight="1"/>
    <row r="890" ht="14.25" hidden="1" customHeight="1"/>
    <row r="891" ht="14.25" hidden="1" customHeight="1"/>
    <row r="892" ht="14.25" hidden="1" customHeight="1"/>
    <row r="893" ht="14.25" hidden="1" customHeight="1"/>
    <row r="894" ht="14.25" hidden="1" customHeight="1"/>
    <row r="895" ht="14.25" hidden="1" customHeight="1"/>
    <row r="896" ht="14.25" hidden="1" customHeight="1"/>
    <row r="897" ht="14.25" hidden="1" customHeight="1"/>
    <row r="898" ht="14.25" hidden="1" customHeight="1"/>
    <row r="899" ht="14.25" hidden="1" customHeight="1"/>
    <row r="900" ht="14.25" hidden="1" customHeight="1"/>
    <row r="901" ht="14.25" hidden="1" customHeight="1"/>
    <row r="902" ht="14.25" hidden="1" customHeight="1"/>
    <row r="903" ht="14.25" hidden="1" customHeight="1"/>
    <row r="904" ht="14.25" hidden="1" customHeight="1"/>
    <row r="905" ht="14.25" hidden="1" customHeight="1"/>
    <row r="906" ht="14.25" hidden="1" customHeight="1"/>
    <row r="907" ht="14.25" hidden="1" customHeight="1"/>
    <row r="908" ht="14.25" hidden="1" customHeight="1"/>
    <row r="909" ht="14.25" hidden="1" customHeight="1"/>
    <row r="910" ht="14.25" hidden="1" customHeight="1"/>
    <row r="911" ht="14.25" hidden="1" customHeight="1"/>
    <row r="912" ht="14.25" hidden="1" customHeight="1"/>
    <row r="913" ht="14.25" hidden="1" customHeight="1"/>
    <row r="914" ht="14.25" hidden="1" customHeight="1"/>
    <row r="915" ht="14.25" hidden="1" customHeight="1"/>
    <row r="916" ht="14.25" hidden="1" customHeight="1"/>
    <row r="917" ht="14.25" hidden="1" customHeight="1"/>
    <row r="918" ht="14.25" hidden="1" customHeight="1"/>
    <row r="919" ht="14.25" hidden="1" customHeight="1"/>
    <row r="920" ht="14.25" hidden="1" customHeight="1"/>
    <row r="921" ht="14.25" hidden="1" customHeight="1"/>
    <row r="922" ht="14.25" hidden="1" customHeight="1"/>
    <row r="923" ht="14.25" hidden="1" customHeight="1"/>
    <row r="924" ht="14.25" hidden="1" customHeight="1"/>
    <row r="925" ht="14.25" hidden="1" customHeight="1"/>
    <row r="926" ht="14.25" hidden="1" customHeight="1"/>
    <row r="927" ht="14.25" hidden="1" customHeight="1"/>
    <row r="928" ht="14.25" hidden="1" customHeight="1"/>
    <row r="929" ht="14.25" hidden="1" customHeight="1"/>
    <row r="930" ht="14.25" hidden="1" customHeight="1"/>
    <row r="931" ht="14.25" hidden="1" customHeight="1"/>
    <row r="932" ht="14.25" hidden="1" customHeight="1"/>
    <row r="933" ht="14.25" hidden="1" customHeight="1"/>
    <row r="934" ht="14.25" hidden="1" customHeight="1"/>
    <row r="935" ht="14.25" hidden="1" customHeight="1"/>
    <row r="936" ht="14.25" hidden="1" customHeight="1"/>
    <row r="937" ht="14.25" hidden="1" customHeight="1"/>
    <row r="938" ht="14.25" hidden="1" customHeight="1"/>
    <row r="939" ht="14.25" hidden="1" customHeight="1"/>
    <row r="940" ht="14.25" hidden="1" customHeight="1"/>
    <row r="941" ht="14.25" hidden="1" customHeight="1"/>
    <row r="942" ht="14.25" hidden="1" customHeight="1"/>
    <row r="943" ht="14.25" hidden="1" customHeight="1"/>
    <row r="944" ht="14.25" hidden="1" customHeight="1"/>
    <row r="945" ht="14.25" hidden="1" customHeight="1"/>
    <row r="946" ht="14.25" hidden="1" customHeight="1"/>
    <row r="947" ht="14.25" hidden="1" customHeight="1"/>
    <row r="948" ht="14.25" hidden="1" customHeight="1"/>
    <row r="949" ht="14.25" hidden="1" customHeight="1"/>
    <row r="950" ht="14.25" hidden="1" customHeight="1"/>
    <row r="951" ht="14.25" hidden="1" customHeight="1"/>
    <row r="952" ht="14.25" hidden="1" customHeight="1"/>
    <row r="953" ht="14.25" hidden="1" customHeight="1"/>
    <row r="954" ht="14.25" hidden="1" customHeight="1"/>
    <row r="955" ht="14.25" hidden="1" customHeight="1"/>
    <row r="956" ht="14.25" hidden="1" customHeight="1"/>
    <row r="957" ht="14.25" hidden="1" customHeight="1"/>
    <row r="958" ht="14.25" hidden="1" customHeight="1"/>
    <row r="959" ht="14.25" hidden="1" customHeight="1"/>
    <row r="960" ht="14.25" hidden="1" customHeight="1"/>
    <row r="961" ht="14.25" hidden="1" customHeight="1"/>
    <row r="962" ht="14.25" hidden="1" customHeight="1"/>
    <row r="963" ht="14.25" hidden="1" customHeight="1"/>
    <row r="964" ht="14.25" hidden="1" customHeight="1"/>
    <row r="965" ht="14.25" hidden="1" customHeight="1"/>
    <row r="966" ht="14.25" hidden="1" customHeight="1"/>
    <row r="967" ht="14.25" hidden="1" customHeight="1"/>
    <row r="968" ht="14.25" hidden="1" customHeight="1"/>
    <row r="969" ht="14.25" hidden="1" customHeight="1"/>
    <row r="970" ht="14.25" hidden="1" customHeight="1"/>
    <row r="971" ht="14.25" hidden="1" customHeight="1"/>
    <row r="972" ht="14.25" hidden="1" customHeight="1"/>
    <row r="973" ht="14.25" hidden="1" customHeight="1"/>
    <row r="974" ht="14.25" hidden="1" customHeight="1"/>
    <row r="975" ht="14.25" hidden="1" customHeight="1"/>
    <row r="976" ht="14.25" hidden="1" customHeight="1"/>
    <row r="977" ht="14.25" hidden="1" customHeight="1"/>
    <row r="978" ht="14.25" hidden="1" customHeight="1"/>
    <row r="979" ht="14.25" hidden="1" customHeight="1"/>
    <row r="980" ht="14.25" hidden="1" customHeight="1"/>
    <row r="981" ht="14.25" hidden="1" customHeight="1"/>
    <row r="982" ht="14.25" hidden="1" customHeight="1"/>
    <row r="983" ht="14.25" hidden="1" customHeight="1"/>
    <row r="984" ht="14.25" hidden="1" customHeight="1"/>
    <row r="985" ht="14.25" hidden="1" customHeight="1"/>
    <row r="986" ht="14.25" hidden="1" customHeight="1"/>
    <row r="987" ht="14.25" hidden="1" customHeight="1"/>
    <row r="988" ht="14.25" hidden="1" customHeight="1"/>
    <row r="989" ht="14.25" hidden="1" customHeight="1"/>
    <row r="990" ht="14.25" hidden="1" customHeight="1"/>
    <row r="991" ht="14.25" hidden="1" customHeight="1"/>
    <row r="992" ht="14.25" hidden="1" customHeight="1"/>
    <row r="993" ht="14.25" hidden="1" customHeight="1"/>
    <row r="994" ht="14.25" hidden="1" customHeight="1"/>
    <row r="995" ht="14.25" hidden="1" customHeight="1"/>
    <row r="996" ht="14.25" hidden="1" customHeight="1"/>
    <row r="997" ht="14.25" hidden="1" customHeight="1"/>
    <row r="998" ht="14.25" hidden="1" customHeight="1"/>
    <row r="999" ht="14.25" hidden="1" customHeight="1"/>
    <row r="1000" ht="14.25" hidden="1" customHeight="1"/>
  </sheetData>
  <mergeCells count="33">
    <mergeCell ref="L3:O3"/>
    <mergeCell ref="B4:D4"/>
    <mergeCell ref="E4:G4"/>
    <mergeCell ref="F30:J30"/>
    <mergeCell ref="C31:E31"/>
    <mergeCell ref="F31:G31"/>
    <mergeCell ref="H31:I31"/>
    <mergeCell ref="C32:E32"/>
    <mergeCell ref="F32:G32"/>
    <mergeCell ref="H32:I32"/>
    <mergeCell ref="C33:E33"/>
    <mergeCell ref="F33:G33"/>
    <mergeCell ref="H33:I33"/>
    <mergeCell ref="C34:E34"/>
    <mergeCell ref="F34:G34"/>
    <mergeCell ref="H34:I34"/>
    <mergeCell ref="F35:G35"/>
    <mergeCell ref="H35:I35"/>
    <mergeCell ref="F36:G36"/>
    <mergeCell ref="C37:J37"/>
    <mergeCell ref="C38:E38"/>
    <mergeCell ref="F38:G38"/>
    <mergeCell ref="H38:I38"/>
    <mergeCell ref="C39:E39"/>
    <mergeCell ref="F39:G39"/>
    <mergeCell ref="H39:I39"/>
    <mergeCell ref="C40:E40"/>
    <mergeCell ref="F40:G40"/>
    <mergeCell ref="H40:I40"/>
    <mergeCell ref="C41:E41"/>
    <mergeCell ref="F41:G41"/>
    <mergeCell ref="H41:I41"/>
    <mergeCell ref="M27:O32"/>
  </mergeCells>
  <dataValidations count="3">
    <dataValidation type="list" allowBlank="1" showErrorMessage="1" sqref="B5:B25 D5:D25">
      <formula1>$AB$3:$AB$5</formula1>
    </dataValidation>
    <dataValidation type="list" allowBlank="1" showErrorMessage="1" sqref="E5:E25 G5:G25 N5:O25">
      <formula1>$AD$3:$AD$12</formula1>
    </dataValidation>
    <dataValidation type="list" allowBlank="1" showErrorMessage="1" sqref="L5:L25">
      <formula1>Registro!$B$3:$B$26</formula1>
    </dataValidation>
  </dataValidations>
  <pageMargins left="0.7" right="0.7" top="0.75" bottom="0.75" header="0" footer="0"/>
  <pageSetup paperSize="1" orientation="landscape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Registro</vt:lpstr>
      <vt:lpstr>Partido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eddy</cp:lastModifiedBy>
  <dcterms:created xsi:type="dcterms:W3CDTF">2024-10-07T07:49:00Z</dcterms:created>
  <dcterms:modified xsi:type="dcterms:W3CDTF">2025-01-08T23:31:17Z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43EB350CC46541D5AEC0AA4BAC5A85F1_12</vt:lpwstr>
  </property>
  <property fmtid="{D5CDD505-2E9C-101B-9397-08002B2CF9AE}" pid="3" name="KSOProductBuildVer">
    <vt:lpwstr>3082-12.2.0.19307</vt:lpwstr>
  </property>
</Properties>
</file>